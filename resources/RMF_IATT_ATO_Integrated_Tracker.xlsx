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worksheets/sheet15.xml" ContentType="application/vnd.openxmlformats-officedocument.spreadsheetml.worksheet+xml"/>
  <Override PartName="/xl/theme/theme1.xml" ContentType="application/vnd.openxmlformats-officedocument.theme+xml"/>
  <Override PartName="/xl/worksheets/sheet16.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gc-my.sharepoint.us/personal/dave_sossa_ngc_com/Documents/Documents/__MyStuff/!VTSN/REQ-CYBER/"/>
    </mc:Choice>
  </mc:AlternateContent>
  <xr:revisionPtr revIDLastSave="326" documentId="8_{FE8DCF03-3267-41D8-A2B7-166A661C9EE0}" xr6:coauthVersionLast="47" xr6:coauthVersionMax="47" xr10:uidLastSave="{653C410F-85D0-4C1D-A4B5-DD3557361636}"/>
  <bookViews>
    <workbookView xWindow="-42060" yWindow="-15675" windowWidth="37800" windowHeight="30285" tabRatio="770" firstSheet="1" activeTab="1" xr2:uid="{00000000-000D-0000-FFFF-FFFF00000000}"/>
  </bookViews>
  <sheets>
    <sheet name="Dashboard" sheetId="1" r:id="rId1"/>
    <sheet name="AO Brief" sheetId="2" r:id="rId2"/>
    <sheet name="RMF Process" sheetId="3" r:id="rId3"/>
    <sheet name="Requirements" sheetId="4" r:id="rId4"/>
    <sheet name="RMF Controls" sheetId="5" r:id="rId5"/>
    <sheet name="Evidence Tracker" sheetId="6" r:id="rId6"/>
    <sheet name="POAM Automation" sheetId="7" r:id="rId7"/>
    <sheet name="IATT Gate" sheetId="8" r:id="rId8"/>
    <sheet name="ATO Gate" sheetId="9" r:id="rId9"/>
    <sheet name="IMS" sheetId="10" r:id="rId10"/>
    <sheet name="CDRL IMS Linkage" sheetId="11" r:id="rId11"/>
    <sheet name="Risk Register" sheetId="12" r:id="rId12"/>
    <sheet name="Source Selection" sheetId="13" r:id="rId13"/>
    <sheet name="Diagrams" sheetId="14" r:id="rId14"/>
    <sheet name="Data Lists" sheetId="15" r:id="rId15"/>
    <sheet name="Glosary" sheetId="16" r:id="rId16"/>
  </sheets>
  <definedNames>
    <definedName name="_xlnm._FilterDatabase" localSheetId="10" hidden="1">'CDRL IMS Linkage'!$A$1:$J$1</definedName>
    <definedName name="_xlnm._FilterDatabase" localSheetId="5" hidden="1">'Evidence Tracker'!$A$1:$L$178</definedName>
    <definedName name="_xlnm._FilterDatabase" localSheetId="3" hidden="1">Requirements!$A$1:$P$178</definedName>
    <definedName name="_xlnm._FilterDatabase" localSheetId="11" hidden="1">'Risk Register'!$A$1:$M$1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3" l="1"/>
  <c r="G6" i="13"/>
  <c r="I6" i="13" s="1"/>
  <c r="H5" i="13"/>
  <c r="G5" i="13"/>
  <c r="I5" i="13" s="1"/>
  <c r="H4" i="13"/>
  <c r="G4" i="13"/>
  <c r="I4" i="13" s="1"/>
  <c r="H3" i="13"/>
  <c r="G3" i="13"/>
  <c r="I3" i="13" s="1"/>
  <c r="I2" i="13"/>
  <c r="H2" i="13"/>
  <c r="G2" i="13"/>
  <c r="I178" i="12"/>
  <c r="H178" i="12"/>
  <c r="H177" i="12"/>
  <c r="I177" i="12" s="1"/>
  <c r="H176" i="12"/>
  <c r="I176" i="12" s="1"/>
  <c r="H175" i="12"/>
  <c r="I175" i="12" s="1"/>
  <c r="H174" i="12"/>
  <c r="I174" i="12" s="1"/>
  <c r="H173" i="12"/>
  <c r="I173" i="12" s="1"/>
  <c r="I172" i="12"/>
  <c r="H172" i="12"/>
  <c r="H171" i="12"/>
  <c r="I171" i="12" s="1"/>
  <c r="I170" i="12"/>
  <c r="H170" i="12"/>
  <c r="I169" i="12"/>
  <c r="H169" i="12"/>
  <c r="I168" i="12"/>
  <c r="H168" i="12"/>
  <c r="I167" i="12"/>
  <c r="H167" i="12"/>
  <c r="H166" i="12"/>
  <c r="I166" i="12" s="1"/>
  <c r="H165" i="12"/>
  <c r="I165" i="12" s="1"/>
  <c r="H164" i="12"/>
  <c r="I164" i="12" s="1"/>
  <c r="H163" i="12"/>
  <c r="I163" i="12" s="1"/>
  <c r="H162" i="12"/>
  <c r="I162" i="12" s="1"/>
  <c r="H161" i="12"/>
  <c r="I161" i="12" s="1"/>
  <c r="H160" i="12"/>
  <c r="I160" i="12" s="1"/>
  <c r="H159" i="12"/>
  <c r="I159" i="12" s="1"/>
  <c r="I158" i="12"/>
  <c r="H158" i="12"/>
  <c r="H157" i="12"/>
  <c r="I157" i="12" s="1"/>
  <c r="I156" i="12"/>
  <c r="H156" i="12"/>
  <c r="I155" i="12"/>
  <c r="H155" i="12"/>
  <c r="I154" i="12"/>
  <c r="H154" i="12"/>
  <c r="I153" i="12"/>
  <c r="H153" i="12"/>
  <c r="H152" i="12"/>
  <c r="I152" i="12" s="1"/>
  <c r="H151" i="12"/>
  <c r="I151" i="12" s="1"/>
  <c r="H150" i="12"/>
  <c r="I150" i="12" s="1"/>
  <c r="H149" i="12"/>
  <c r="I149" i="12" s="1"/>
  <c r="H148" i="12"/>
  <c r="I148" i="12" s="1"/>
  <c r="H147" i="12"/>
  <c r="I147" i="12" s="1"/>
  <c r="H146" i="12"/>
  <c r="I146" i="12" s="1"/>
  <c r="H145" i="12"/>
  <c r="I145" i="12" s="1"/>
  <c r="I144" i="12"/>
  <c r="H144" i="12"/>
  <c r="H143" i="12"/>
  <c r="I143" i="12" s="1"/>
  <c r="I142" i="12"/>
  <c r="H142" i="12"/>
  <c r="I141" i="12"/>
  <c r="H141" i="12"/>
  <c r="I140" i="12"/>
  <c r="H140" i="12"/>
  <c r="I139" i="12"/>
  <c r="H139" i="12"/>
  <c r="H138" i="12"/>
  <c r="I138" i="12" s="1"/>
  <c r="H137" i="12"/>
  <c r="I137" i="12" s="1"/>
  <c r="H136" i="12"/>
  <c r="I136" i="12" s="1"/>
  <c r="H135" i="12"/>
  <c r="I135" i="12" s="1"/>
  <c r="H134" i="12"/>
  <c r="I134" i="12" s="1"/>
  <c r="H133" i="12"/>
  <c r="I133" i="12" s="1"/>
  <c r="H132" i="12"/>
  <c r="I132" i="12" s="1"/>
  <c r="H131" i="12"/>
  <c r="I131" i="12" s="1"/>
  <c r="I130" i="12"/>
  <c r="H130" i="12"/>
  <c r="H129" i="12"/>
  <c r="I129" i="12" s="1"/>
  <c r="I128" i="12"/>
  <c r="H128" i="12"/>
  <c r="I127" i="12"/>
  <c r="H127" i="12"/>
  <c r="I126" i="12"/>
  <c r="H126" i="12"/>
  <c r="I125" i="12"/>
  <c r="H125" i="12"/>
  <c r="H124" i="12"/>
  <c r="I124" i="12" s="1"/>
  <c r="H123" i="12"/>
  <c r="I123" i="12" s="1"/>
  <c r="H122" i="12"/>
  <c r="I122" i="12" s="1"/>
  <c r="H121" i="12"/>
  <c r="I121" i="12" s="1"/>
  <c r="H120" i="12"/>
  <c r="I120" i="12" s="1"/>
  <c r="H119" i="12"/>
  <c r="I119" i="12" s="1"/>
  <c r="H118" i="12"/>
  <c r="I118" i="12" s="1"/>
  <c r="H117" i="12"/>
  <c r="I117" i="12" s="1"/>
  <c r="I116" i="12"/>
  <c r="H116" i="12"/>
  <c r="H115" i="12"/>
  <c r="I115" i="12" s="1"/>
  <c r="I114" i="12"/>
  <c r="H114" i="12"/>
  <c r="I113" i="12"/>
  <c r="H113" i="12"/>
  <c r="I112" i="12"/>
  <c r="H112" i="12"/>
  <c r="I111" i="12"/>
  <c r="H111" i="12"/>
  <c r="H110" i="12"/>
  <c r="I110" i="12" s="1"/>
  <c r="H109" i="12"/>
  <c r="I109" i="12" s="1"/>
  <c r="H108" i="12"/>
  <c r="I108" i="12" s="1"/>
  <c r="H107" i="12"/>
  <c r="I107" i="12" s="1"/>
  <c r="H106" i="12"/>
  <c r="I106" i="12" s="1"/>
  <c r="H105" i="12"/>
  <c r="I105" i="12" s="1"/>
  <c r="H104" i="12"/>
  <c r="I104" i="12" s="1"/>
  <c r="H103" i="12"/>
  <c r="I103" i="12" s="1"/>
  <c r="I102" i="12"/>
  <c r="H102" i="12"/>
  <c r="H101" i="12"/>
  <c r="I101" i="12" s="1"/>
  <c r="I100" i="12"/>
  <c r="H100" i="12"/>
  <c r="I99" i="12"/>
  <c r="H99" i="12"/>
  <c r="I98" i="12"/>
  <c r="H98" i="12"/>
  <c r="I97" i="12"/>
  <c r="H97" i="12"/>
  <c r="H96" i="12"/>
  <c r="I96" i="12" s="1"/>
  <c r="H95" i="12"/>
  <c r="I95" i="12" s="1"/>
  <c r="H94" i="12"/>
  <c r="I94" i="12" s="1"/>
  <c r="H93" i="12"/>
  <c r="I93" i="12" s="1"/>
  <c r="H92" i="12"/>
  <c r="I92" i="12" s="1"/>
  <c r="H91" i="12"/>
  <c r="I91" i="12" s="1"/>
  <c r="H90" i="12"/>
  <c r="I90" i="12" s="1"/>
  <c r="H89" i="12"/>
  <c r="I89" i="12" s="1"/>
  <c r="I88" i="12"/>
  <c r="H88" i="12"/>
  <c r="H87" i="12"/>
  <c r="I87" i="12" s="1"/>
  <c r="I86" i="12"/>
  <c r="H86" i="12"/>
  <c r="I85" i="12"/>
  <c r="H85" i="12"/>
  <c r="I84" i="12"/>
  <c r="H84" i="12"/>
  <c r="I83" i="12"/>
  <c r="H83" i="12"/>
  <c r="H82" i="12"/>
  <c r="I82" i="12" s="1"/>
  <c r="H81" i="12"/>
  <c r="I81" i="12" s="1"/>
  <c r="H80" i="12"/>
  <c r="I80" i="12" s="1"/>
  <c r="H79" i="12"/>
  <c r="I79" i="12" s="1"/>
  <c r="H78" i="12"/>
  <c r="I78" i="12" s="1"/>
  <c r="H77" i="12"/>
  <c r="I77" i="12" s="1"/>
  <c r="H76" i="12"/>
  <c r="I76" i="12" s="1"/>
  <c r="H75" i="12"/>
  <c r="I75" i="12" s="1"/>
  <c r="I74" i="12"/>
  <c r="H74" i="12"/>
  <c r="H73" i="12"/>
  <c r="I73" i="12" s="1"/>
  <c r="I72" i="12"/>
  <c r="H72" i="12"/>
  <c r="I71" i="12"/>
  <c r="H71" i="12"/>
  <c r="I70" i="12"/>
  <c r="H70" i="12"/>
  <c r="I69" i="12"/>
  <c r="H69" i="12"/>
  <c r="H68" i="12"/>
  <c r="I68" i="12" s="1"/>
  <c r="H67" i="12"/>
  <c r="I67" i="12" s="1"/>
  <c r="H66" i="12"/>
  <c r="I66" i="12" s="1"/>
  <c r="H65" i="12"/>
  <c r="I65" i="12" s="1"/>
  <c r="H64" i="12"/>
  <c r="I64" i="12" s="1"/>
  <c r="H63" i="12"/>
  <c r="I63" i="12" s="1"/>
  <c r="H62" i="12"/>
  <c r="I62" i="12" s="1"/>
  <c r="H61" i="12"/>
  <c r="I61" i="12" s="1"/>
  <c r="I60" i="12"/>
  <c r="H60" i="12"/>
  <c r="H59" i="12"/>
  <c r="I59" i="12" s="1"/>
  <c r="I58" i="12"/>
  <c r="H58" i="12"/>
  <c r="I57" i="12"/>
  <c r="H57" i="12"/>
  <c r="I56" i="12"/>
  <c r="H56" i="12"/>
  <c r="I55" i="12"/>
  <c r="H55" i="12"/>
  <c r="H54" i="12"/>
  <c r="I54" i="12" s="1"/>
  <c r="H53" i="12"/>
  <c r="I53" i="12" s="1"/>
  <c r="H52" i="12"/>
  <c r="I52" i="12" s="1"/>
  <c r="H51" i="12"/>
  <c r="I51" i="12" s="1"/>
  <c r="H50" i="12"/>
  <c r="I50" i="12" s="1"/>
  <c r="H49" i="12"/>
  <c r="I49" i="12" s="1"/>
  <c r="H48" i="12"/>
  <c r="I48" i="12" s="1"/>
  <c r="H47" i="12"/>
  <c r="I47" i="12" s="1"/>
  <c r="I46" i="12"/>
  <c r="H46" i="12"/>
  <c r="H45" i="12"/>
  <c r="I45" i="12" s="1"/>
  <c r="I44" i="12"/>
  <c r="H44" i="12"/>
  <c r="I43" i="12"/>
  <c r="H43" i="12"/>
  <c r="I42" i="12"/>
  <c r="H42" i="12"/>
  <c r="I41" i="12"/>
  <c r="H41" i="12"/>
  <c r="H40" i="12"/>
  <c r="I40" i="12" s="1"/>
  <c r="H39" i="12"/>
  <c r="I39" i="12" s="1"/>
  <c r="H38" i="12"/>
  <c r="I38" i="12" s="1"/>
  <c r="H37" i="12"/>
  <c r="I37" i="12" s="1"/>
  <c r="H36" i="12"/>
  <c r="I36" i="12" s="1"/>
  <c r="H35" i="12"/>
  <c r="I35" i="12" s="1"/>
  <c r="H34" i="12"/>
  <c r="I34" i="12" s="1"/>
  <c r="H33" i="12"/>
  <c r="I33" i="12" s="1"/>
  <c r="I32" i="12"/>
  <c r="H32" i="12"/>
  <c r="H31" i="12"/>
  <c r="I31" i="12" s="1"/>
  <c r="I30" i="12"/>
  <c r="H30" i="12"/>
  <c r="I29" i="12"/>
  <c r="H29" i="12"/>
  <c r="I28" i="12"/>
  <c r="H28" i="12"/>
  <c r="I27" i="12"/>
  <c r="H27" i="12"/>
  <c r="H26" i="12"/>
  <c r="I26" i="12" s="1"/>
  <c r="H25" i="12"/>
  <c r="I25" i="12" s="1"/>
  <c r="H24" i="12"/>
  <c r="I24" i="12" s="1"/>
  <c r="H23" i="12"/>
  <c r="I23" i="12" s="1"/>
  <c r="H22" i="12"/>
  <c r="I22" i="12" s="1"/>
  <c r="H21" i="12"/>
  <c r="I21" i="12" s="1"/>
  <c r="H20" i="12"/>
  <c r="I20" i="12" s="1"/>
  <c r="H19" i="12"/>
  <c r="I19" i="12" s="1"/>
  <c r="I18" i="12"/>
  <c r="H18" i="12"/>
  <c r="H17" i="12"/>
  <c r="I17" i="12" s="1"/>
  <c r="I16" i="12"/>
  <c r="H16" i="12"/>
  <c r="I15" i="12"/>
  <c r="H15" i="12"/>
  <c r="I14" i="12"/>
  <c r="H14" i="12"/>
  <c r="I13" i="12"/>
  <c r="H13" i="12"/>
  <c r="H12" i="12"/>
  <c r="I12" i="12" s="1"/>
  <c r="H11" i="12"/>
  <c r="I11" i="12" s="1"/>
  <c r="H10" i="12"/>
  <c r="I10" i="12" s="1"/>
  <c r="H9" i="12"/>
  <c r="I9" i="12" s="1"/>
  <c r="H8" i="12"/>
  <c r="I8" i="12" s="1"/>
  <c r="H7" i="12"/>
  <c r="I7" i="12" s="1"/>
  <c r="H6" i="12"/>
  <c r="I6" i="12" s="1"/>
  <c r="H5" i="12"/>
  <c r="I5" i="12" s="1"/>
  <c r="I4" i="12"/>
  <c r="H4" i="12"/>
  <c r="H3" i="12"/>
  <c r="I3" i="12" s="1"/>
  <c r="I2" i="12"/>
  <c r="H2" i="12"/>
  <c r="F17" i="10"/>
  <c r="F16" i="10"/>
  <c r="F15" i="10"/>
  <c r="F14" i="10"/>
  <c r="F13" i="10"/>
  <c r="F12" i="10"/>
  <c r="F11" i="10"/>
  <c r="F10" i="10"/>
  <c r="F9" i="10"/>
  <c r="F8" i="10"/>
  <c r="F7" i="10"/>
  <c r="F6" i="10"/>
  <c r="F5" i="10"/>
  <c r="F4" i="10"/>
  <c r="F3" i="10"/>
  <c r="F2" i="10"/>
  <c r="N121" i="7"/>
  <c r="M121" i="7"/>
  <c r="J121" i="7"/>
  <c r="N120" i="7"/>
  <c r="M120" i="7"/>
  <c r="J120" i="7"/>
  <c r="N119" i="7"/>
  <c r="M119" i="7"/>
  <c r="J119" i="7"/>
  <c r="N118" i="7"/>
  <c r="M118" i="7"/>
  <c r="J118" i="7"/>
  <c r="N117" i="7"/>
  <c r="M117" i="7"/>
  <c r="J117" i="7"/>
  <c r="N116" i="7"/>
  <c r="M116" i="7"/>
  <c r="J116" i="7"/>
  <c r="N115" i="7"/>
  <c r="M115" i="7"/>
  <c r="J115" i="7"/>
  <c r="N114" i="7"/>
  <c r="M114" i="7"/>
  <c r="J114" i="7"/>
  <c r="N113" i="7"/>
  <c r="M113" i="7"/>
  <c r="J113" i="7"/>
  <c r="N112" i="7"/>
  <c r="M112" i="7"/>
  <c r="J112" i="7"/>
  <c r="N111" i="7"/>
  <c r="M111" i="7"/>
  <c r="J111" i="7"/>
  <c r="N110" i="7"/>
  <c r="M110" i="7"/>
  <c r="J110" i="7"/>
  <c r="N109" i="7"/>
  <c r="M109" i="7"/>
  <c r="J109" i="7"/>
  <c r="N108" i="7"/>
  <c r="M108" i="7"/>
  <c r="J108" i="7"/>
  <c r="N107" i="7"/>
  <c r="M107" i="7"/>
  <c r="J107" i="7"/>
  <c r="N106" i="7"/>
  <c r="M106" i="7"/>
  <c r="J106" i="7"/>
  <c r="N105" i="7"/>
  <c r="M105" i="7"/>
  <c r="J105" i="7"/>
  <c r="N104" i="7"/>
  <c r="M104" i="7"/>
  <c r="J104" i="7"/>
  <c r="N103" i="7"/>
  <c r="M103" i="7"/>
  <c r="J103" i="7"/>
  <c r="N102" i="7"/>
  <c r="M102" i="7"/>
  <c r="J102" i="7"/>
  <c r="N101" i="7"/>
  <c r="M101" i="7"/>
  <c r="J101" i="7"/>
  <c r="N100" i="7"/>
  <c r="M100" i="7"/>
  <c r="J100" i="7"/>
  <c r="N99" i="7"/>
  <c r="M99" i="7"/>
  <c r="J99" i="7"/>
  <c r="N98" i="7"/>
  <c r="M98" i="7"/>
  <c r="J98" i="7"/>
  <c r="N97" i="7"/>
  <c r="M97" i="7"/>
  <c r="J97" i="7"/>
  <c r="N96" i="7"/>
  <c r="M96" i="7"/>
  <c r="J96" i="7"/>
  <c r="N95" i="7"/>
  <c r="M95" i="7"/>
  <c r="J95" i="7"/>
  <c r="N94" i="7"/>
  <c r="M94" i="7"/>
  <c r="J94" i="7"/>
  <c r="N93" i="7"/>
  <c r="M93" i="7"/>
  <c r="J93" i="7"/>
  <c r="N92" i="7"/>
  <c r="M92" i="7"/>
  <c r="J92" i="7"/>
  <c r="N91" i="7"/>
  <c r="M91" i="7"/>
  <c r="J91" i="7"/>
  <c r="N90" i="7"/>
  <c r="M90" i="7"/>
  <c r="J90" i="7"/>
  <c r="N89" i="7"/>
  <c r="M89" i="7"/>
  <c r="J89" i="7"/>
  <c r="N88" i="7"/>
  <c r="M88" i="7"/>
  <c r="J88" i="7"/>
  <c r="N87" i="7"/>
  <c r="M87" i="7"/>
  <c r="J87" i="7"/>
  <c r="N86" i="7"/>
  <c r="M86" i="7"/>
  <c r="J86" i="7"/>
  <c r="N85" i="7"/>
  <c r="M85" i="7"/>
  <c r="J85" i="7"/>
  <c r="N84" i="7"/>
  <c r="M84" i="7"/>
  <c r="J84" i="7"/>
  <c r="N83" i="7"/>
  <c r="M83" i="7"/>
  <c r="J83" i="7"/>
  <c r="N82" i="7"/>
  <c r="M82" i="7"/>
  <c r="J82" i="7"/>
  <c r="N81" i="7"/>
  <c r="M81" i="7"/>
  <c r="J81" i="7"/>
  <c r="N80" i="7"/>
  <c r="M80" i="7"/>
  <c r="J80" i="7"/>
  <c r="N79" i="7"/>
  <c r="M79" i="7"/>
  <c r="J79" i="7"/>
  <c r="N78" i="7"/>
  <c r="M78" i="7"/>
  <c r="J78" i="7"/>
  <c r="N77" i="7"/>
  <c r="M77" i="7"/>
  <c r="J77" i="7"/>
  <c r="N76" i="7"/>
  <c r="M76" i="7"/>
  <c r="J76" i="7"/>
  <c r="N75" i="7"/>
  <c r="M75" i="7"/>
  <c r="J75" i="7"/>
  <c r="N74" i="7"/>
  <c r="M74" i="7"/>
  <c r="J74" i="7"/>
  <c r="N73" i="7"/>
  <c r="M73" i="7"/>
  <c r="J73" i="7"/>
  <c r="N72" i="7"/>
  <c r="M72" i="7"/>
  <c r="J72" i="7"/>
  <c r="N71" i="7"/>
  <c r="M71" i="7"/>
  <c r="J71" i="7"/>
  <c r="N70" i="7"/>
  <c r="M70" i="7"/>
  <c r="J70" i="7"/>
  <c r="N69" i="7"/>
  <c r="M69" i="7"/>
  <c r="J69" i="7"/>
  <c r="N68" i="7"/>
  <c r="M68" i="7"/>
  <c r="J68" i="7"/>
  <c r="N67" i="7"/>
  <c r="M67" i="7"/>
  <c r="J67" i="7"/>
  <c r="N66" i="7"/>
  <c r="M66" i="7"/>
  <c r="J66" i="7"/>
  <c r="N65" i="7"/>
  <c r="M65" i="7"/>
  <c r="J65" i="7"/>
  <c r="N64" i="7"/>
  <c r="M64" i="7"/>
  <c r="J64" i="7"/>
  <c r="N63" i="7"/>
  <c r="M63" i="7"/>
  <c r="J63" i="7"/>
  <c r="N62" i="7"/>
  <c r="M62" i="7"/>
  <c r="J62" i="7"/>
  <c r="N61" i="7"/>
  <c r="M61" i="7"/>
  <c r="J61" i="7"/>
  <c r="N60" i="7"/>
  <c r="M60" i="7"/>
  <c r="J60" i="7"/>
  <c r="N59" i="7"/>
  <c r="M59" i="7"/>
  <c r="J59" i="7"/>
  <c r="N58" i="7"/>
  <c r="M58" i="7"/>
  <c r="J58" i="7"/>
  <c r="N57" i="7"/>
  <c r="M57" i="7"/>
  <c r="J57" i="7"/>
  <c r="N56" i="7"/>
  <c r="M56" i="7"/>
  <c r="J56" i="7"/>
  <c r="N55" i="7"/>
  <c r="M55" i="7"/>
  <c r="J55" i="7"/>
  <c r="N54" i="7"/>
  <c r="M54" i="7"/>
  <c r="J54" i="7"/>
  <c r="N53" i="7"/>
  <c r="M53" i="7"/>
  <c r="J53" i="7"/>
  <c r="N52" i="7"/>
  <c r="M52" i="7"/>
  <c r="J52" i="7"/>
  <c r="N51" i="7"/>
  <c r="M51" i="7"/>
  <c r="J51" i="7"/>
  <c r="N50" i="7"/>
  <c r="M50" i="7"/>
  <c r="J50" i="7"/>
  <c r="N49" i="7"/>
  <c r="M49" i="7"/>
  <c r="J49" i="7"/>
  <c r="N48" i="7"/>
  <c r="M48" i="7"/>
  <c r="J48" i="7"/>
  <c r="N47" i="7"/>
  <c r="M47" i="7"/>
  <c r="J47" i="7"/>
  <c r="N46" i="7"/>
  <c r="M46" i="7"/>
  <c r="J46" i="7"/>
  <c r="N45" i="7"/>
  <c r="M45" i="7"/>
  <c r="J45" i="7"/>
  <c r="N44" i="7"/>
  <c r="M44" i="7"/>
  <c r="J44" i="7"/>
  <c r="N43" i="7"/>
  <c r="M43" i="7"/>
  <c r="J43" i="7"/>
  <c r="N42" i="7"/>
  <c r="M42" i="7"/>
  <c r="J42" i="7"/>
  <c r="N41" i="7"/>
  <c r="M41" i="7"/>
  <c r="J41" i="7"/>
  <c r="N40" i="7"/>
  <c r="M40" i="7"/>
  <c r="J40" i="7"/>
  <c r="N39" i="7"/>
  <c r="M39" i="7"/>
  <c r="J39" i="7"/>
  <c r="N38" i="7"/>
  <c r="M38" i="7"/>
  <c r="J38" i="7"/>
  <c r="N37" i="7"/>
  <c r="M37" i="7"/>
  <c r="J37" i="7"/>
  <c r="N36" i="7"/>
  <c r="M36" i="7"/>
  <c r="J36" i="7"/>
  <c r="N35" i="7"/>
  <c r="M35" i="7"/>
  <c r="J35" i="7"/>
  <c r="N34" i="7"/>
  <c r="M34" i="7"/>
  <c r="J34" i="7"/>
  <c r="N33" i="7"/>
  <c r="M33" i="7"/>
  <c r="J33" i="7"/>
  <c r="N32" i="7"/>
  <c r="M32" i="7"/>
  <c r="J32" i="7"/>
  <c r="N31" i="7"/>
  <c r="M31" i="7"/>
  <c r="J31" i="7"/>
  <c r="N30" i="7"/>
  <c r="M30" i="7"/>
  <c r="J30" i="7"/>
  <c r="N29" i="7"/>
  <c r="M29" i="7"/>
  <c r="J29" i="7"/>
  <c r="N28" i="7"/>
  <c r="M28" i="7"/>
  <c r="J28" i="7"/>
  <c r="N27" i="7"/>
  <c r="M27" i="7"/>
  <c r="J27" i="7"/>
  <c r="N26" i="7"/>
  <c r="M26" i="7"/>
  <c r="J26" i="7"/>
  <c r="N25" i="7"/>
  <c r="M25" i="7"/>
  <c r="J25" i="7"/>
  <c r="N24" i="7"/>
  <c r="M24" i="7"/>
  <c r="J24" i="7"/>
  <c r="N23" i="7"/>
  <c r="M23" i="7"/>
  <c r="J23" i="7"/>
  <c r="N22" i="7"/>
  <c r="M22" i="7"/>
  <c r="J22" i="7"/>
  <c r="N21" i="7"/>
  <c r="M21" i="7"/>
  <c r="J21" i="7"/>
  <c r="N20" i="7"/>
  <c r="M20" i="7"/>
  <c r="J20" i="7"/>
  <c r="N19" i="7"/>
  <c r="M19" i="7"/>
  <c r="J19" i="7"/>
  <c r="N18" i="7"/>
  <c r="M18" i="7"/>
  <c r="J18" i="7"/>
  <c r="N17" i="7"/>
  <c r="M17" i="7"/>
  <c r="J17" i="7"/>
  <c r="N16" i="7"/>
  <c r="M16" i="7"/>
  <c r="J16" i="7"/>
  <c r="N15" i="7"/>
  <c r="M15" i="7"/>
  <c r="J15" i="7"/>
  <c r="N14" i="7"/>
  <c r="M14" i="7"/>
  <c r="J14" i="7"/>
  <c r="N13" i="7"/>
  <c r="M13" i="7"/>
  <c r="J13" i="7"/>
  <c r="N12" i="7"/>
  <c r="M12" i="7"/>
  <c r="J12" i="7"/>
  <c r="N11" i="7"/>
  <c r="M11" i="7"/>
  <c r="J11" i="7"/>
  <c r="N10" i="7"/>
  <c r="M10" i="7"/>
  <c r="J10" i="7"/>
  <c r="N9" i="7"/>
  <c r="M9" i="7"/>
  <c r="J9" i="7"/>
  <c r="N8" i="7"/>
  <c r="M8" i="7"/>
  <c r="J8" i="7"/>
  <c r="N7" i="7"/>
  <c r="M7" i="7"/>
  <c r="J7" i="7"/>
  <c r="N6" i="7"/>
  <c r="M6" i="7"/>
  <c r="J6" i="7"/>
  <c r="N5" i="7"/>
  <c r="M5" i="7"/>
  <c r="B8" i="1" s="1"/>
  <c r="B12" i="1" s="1"/>
  <c r="J5" i="7"/>
  <c r="N4" i="7"/>
  <c r="M4" i="7"/>
  <c r="J4" i="7"/>
  <c r="N3" i="7"/>
  <c r="M3" i="7"/>
  <c r="J3" i="7"/>
  <c r="N2" i="7"/>
  <c r="M2" i="7"/>
  <c r="J2" i="7"/>
  <c r="P178" i="4"/>
  <c r="P177" i="4"/>
  <c r="P176" i="4"/>
  <c r="P175" i="4"/>
  <c r="P174" i="4"/>
  <c r="P173" i="4"/>
  <c r="P172" i="4"/>
  <c r="P171" i="4"/>
  <c r="P170" i="4"/>
  <c r="P169" i="4"/>
  <c r="P168" i="4"/>
  <c r="P167" i="4"/>
  <c r="P166" i="4"/>
  <c r="P165" i="4"/>
  <c r="P164" i="4"/>
  <c r="P163" i="4"/>
  <c r="P162" i="4"/>
  <c r="P161" i="4"/>
  <c r="P160" i="4"/>
  <c r="P159" i="4"/>
  <c r="P158" i="4"/>
  <c r="P157" i="4"/>
  <c r="P156" i="4"/>
  <c r="P155" i="4"/>
  <c r="P154" i="4"/>
  <c r="P153" i="4"/>
  <c r="P152" i="4"/>
  <c r="P151" i="4"/>
  <c r="P150" i="4"/>
  <c r="P149" i="4"/>
  <c r="P148" i="4"/>
  <c r="P147" i="4"/>
  <c r="P146" i="4"/>
  <c r="P145" i="4"/>
  <c r="P144" i="4"/>
  <c r="P143" i="4"/>
  <c r="P142" i="4"/>
  <c r="P141" i="4"/>
  <c r="P140" i="4"/>
  <c r="P139" i="4"/>
  <c r="P138" i="4"/>
  <c r="P137" i="4"/>
  <c r="P136" i="4"/>
  <c r="P135" i="4"/>
  <c r="P134" i="4"/>
  <c r="P133" i="4"/>
  <c r="P132" i="4"/>
  <c r="P131" i="4"/>
  <c r="P130" i="4"/>
  <c r="P129" i="4"/>
  <c r="P128" i="4"/>
  <c r="P127" i="4"/>
  <c r="P126" i="4"/>
  <c r="P125" i="4"/>
  <c r="P124" i="4"/>
  <c r="P123" i="4"/>
  <c r="P122" i="4"/>
  <c r="P121" i="4"/>
  <c r="P120" i="4"/>
  <c r="P119" i="4"/>
  <c r="P118"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P6" i="4"/>
  <c r="P5" i="4"/>
  <c r="P4" i="4"/>
  <c r="P3" i="4"/>
  <c r="P2" i="4"/>
  <c r="B9" i="1"/>
  <c r="B7" i="1"/>
  <c r="B6" i="1"/>
  <c r="B5" i="1"/>
  <c r="B4" i="1"/>
  <c r="B3" i="1"/>
</calcChain>
</file>

<file path=xl/sharedStrings.xml><?xml version="1.0" encoding="utf-8"?>
<sst xmlns="http://schemas.openxmlformats.org/spreadsheetml/2006/main" count="7941" uniqueCount="2028">
  <si>
    <t>RMF / ATO Management Dashboard</t>
  </si>
  <si>
    <t>Total Requirements</t>
  </si>
  <si>
    <t>RMF Step</t>
  </si>
  <si>
    <t>Status</t>
  </si>
  <si>
    <t>Primary Artifact</t>
  </si>
  <si>
    <t>Requirements Complete</t>
  </si>
  <si>
    <t>Prepare</t>
  </si>
  <si>
    <t>In Progress</t>
  </si>
  <si>
    <t>Boundary / Strategy</t>
  </si>
  <si>
    <t>Evidence Complete</t>
  </si>
  <si>
    <t>Categorize</t>
  </si>
  <si>
    <t>Not Started</t>
  </si>
  <si>
    <t>Categorization Report</t>
  </si>
  <si>
    <t>Open POA&amp;M Items</t>
  </si>
  <si>
    <t>Select</t>
  </si>
  <si>
    <t>Control Matrix</t>
  </si>
  <si>
    <t>Critical / High POA&amp;M Open</t>
  </si>
  <si>
    <t>Implement</t>
  </si>
  <si>
    <t>SSP / Evidence</t>
  </si>
  <si>
    <t>IATT Blockers</t>
  </si>
  <si>
    <t>Assess</t>
  </si>
  <si>
    <t>SAP / SAR</t>
  </si>
  <si>
    <t>ATO Blockers</t>
  </si>
  <si>
    <t>Authorize</t>
  </si>
  <si>
    <t>IATT / ATO Package</t>
  </si>
  <si>
    <t>IATT Target</t>
  </si>
  <si>
    <t>2027-03-31</t>
  </si>
  <si>
    <t>Monitor</t>
  </si>
  <si>
    <t>ConMon / POA&amp;M</t>
  </si>
  <si>
    <t>ATO Target</t>
  </si>
  <si>
    <t>2027-10-09</t>
  </si>
  <si>
    <t>Overall Readiness</t>
  </si>
  <si>
    <t>Flight Test System RMF Implementation – AO Brief</t>
  </si>
  <si>
    <t>Mission Objective</t>
  </si>
  <si>
    <t>Implement a secure, testable, and evidence-driven system authorization path with two major milestones: Interim Authorization to Test (IATT) and Authorization to Operate (ATO).</t>
  </si>
  <si>
    <t>Authorization Strategy</t>
  </si>
  <si>
    <t>IATT authorizes controlled testing using an initial RMF package, defined test scope, initial control evidence, and a POA&amp;M capturing known risk. ATO authorizes full operations after final assessment, closure or acceptance of residual findings, and activation of continuous monitoring.</t>
  </si>
  <si>
    <t>Decision Gates</t>
  </si>
  <si>
    <t>ATO Gate: final SSP/SAR; no unresolved critical/high findings without acceptance; ConMon active; incident response and configuration management validated; residual risk accepted.</t>
  </si>
  <si>
    <t>Evidence Model</t>
  </si>
  <si>
    <t>Every requirement is linked to controls, evidence artifacts, CDRLs, IMS activities, risks, and POA&amp;M triggers. This supports traceability from SOO objective to AO decision package.</t>
  </si>
  <si>
    <t>Management Mechanism</t>
  </si>
  <si>
    <t>Dashboard, Evidence Tracker, POA&amp;M Automation, IATT Gate, ATO Gate, IMS, CDRL Linkage, and Source Selection tabs provide integrated execution control.</t>
  </si>
  <si>
    <t>Objective</t>
  </si>
  <si>
    <t>Key Activities</t>
  </si>
  <si>
    <t>Primary Artifacts</t>
  </si>
  <si>
    <t>IATT Contribution</t>
  </si>
  <si>
    <t>ATO Contribution</t>
  </si>
  <si>
    <t>Establish governance and authorization context</t>
  </si>
  <si>
    <t>Identify AO, ISSM/ISSO, boundary, roles, system mission, and cyber schedule</t>
  </si>
  <si>
    <t>RMF Strategy; Boundary Diagram</t>
  </si>
  <si>
    <t>Defines test boundary and stakeholders</t>
  </si>
  <si>
    <t>Defines operational authorization scope</t>
  </si>
  <si>
    <t>Determine information impact level</t>
  </si>
  <si>
    <t>Assess confidentiality, integrity, and availability impacts</t>
  </si>
  <si>
    <t>Security Categorization Report</t>
  </si>
  <si>
    <t>Confirms test environment impact assumptions</t>
  </si>
  <si>
    <t>Confirms operational impact baseline</t>
  </si>
  <si>
    <t>Select and tailor controls</t>
  </si>
  <si>
    <t>Apply baseline controls and overlays; document tailoring rationale</t>
  </si>
  <si>
    <t>Control Selection Matrix</t>
  </si>
  <si>
    <t>Identifies minimum test controls</t>
  </si>
  <si>
    <t>Defines full operational control set</t>
  </si>
  <si>
    <t>Build and document controls</t>
  </si>
  <si>
    <t>Implement encryption, logging, access, hardening, monitoring, interfaces, and CM</t>
  </si>
  <si>
    <t>SSP; Evidence Artifacts</t>
  </si>
  <si>
    <t>Shows minimum control implementation for testing</t>
  </si>
  <si>
    <t>Shows full control implementation</t>
  </si>
  <si>
    <t>Validate controls</t>
  </si>
  <si>
    <t>Plan and execute assessment, scans, STIG checks, and control tests</t>
  </si>
  <si>
    <t>SAP; SAR; Scan Results</t>
  </si>
  <si>
    <t>Supports IATT risk decision</t>
  </si>
  <si>
    <t>Supports ATO risk decision</t>
  </si>
  <si>
    <t>Make risk decision</t>
  </si>
  <si>
    <t>Assemble package, brief AO, capture conditions and residual risk</t>
  </si>
  <si>
    <t>IATT/ATO Decision Package</t>
  </si>
  <si>
    <t>AO grants IATT or conditions</t>
  </si>
  <si>
    <t>AO grants ATO or conditional ATO</t>
  </si>
  <si>
    <t>Maintain authorization</t>
  </si>
  <si>
    <t>Operate scans, POA&amp;M, logs, incident response, changes, and reporting</t>
  </si>
  <si>
    <t>ConMon Reports; POA&amp;M</t>
  </si>
  <si>
    <t>Tracks IATT conditions</t>
  </si>
  <si>
    <t>Maintains ATO</t>
  </si>
  <si>
    <t>Req ID</t>
  </si>
  <si>
    <t>Category</t>
  </si>
  <si>
    <t>Requirement Statement</t>
  </si>
  <si>
    <t>Priority</t>
  </si>
  <si>
    <t>NIST Control(s)</t>
  </si>
  <si>
    <t>Verification</t>
  </si>
  <si>
    <t>Acceptance Criteria</t>
  </si>
  <si>
    <t>Evidence Artifact</t>
  </si>
  <si>
    <t>IATT Required</t>
  </si>
  <si>
    <t>ATO Required</t>
  </si>
  <si>
    <t>Linked IMS Task</t>
  </si>
  <si>
    <t>Linked CDRL</t>
  </si>
  <si>
    <t>Linked Risk</t>
  </si>
  <si>
    <t>POA&amp;M Trigger</t>
  </si>
  <si>
    <t>FTN-001</t>
  </si>
  <si>
    <t>Flight Test Network</t>
  </si>
  <si>
    <t>The system shall provide a standalone mission network capable of supporting flight and ground test operations in connected and disconnected modes with documented configuration, authorization boundary alignment, and traceable evidence for RMF assessment.</t>
  </si>
  <si>
    <t>High</t>
  </si>
  <si>
    <t>SC-7; SC-8</t>
  </si>
  <si>
    <t>Test</t>
  </si>
  <si>
    <t>Successful test confirms capability, data integrity checks pass, logs are retained, and results are linked to evidence artifact EV-001.</t>
  </si>
  <si>
    <t>EV-001</t>
  </si>
  <si>
    <t>Yes</t>
  </si>
  <si>
    <t>IMS-001</t>
  </si>
  <si>
    <t>A001</t>
  </si>
  <si>
    <t>R-001</t>
  </si>
  <si>
    <t>FTN-002</t>
  </si>
  <si>
    <t>The system shall ingest, time-align, and retain telemetry, sensor, range safety, and system status data from all approved sources with documented configuration, authorization boundary alignment, and traceable evidence for RMF assessment.</t>
  </si>
  <si>
    <t>SC-8; SC-45</t>
  </si>
  <si>
    <t>Inspect</t>
  </si>
  <si>
    <t>Successful inspect confirms capability, data integrity checks pass, logs are retained, and results are linked to evidence artifact EV-002.</t>
  </si>
  <si>
    <t>EV-002</t>
  </si>
  <si>
    <t>IMS-002</t>
  </si>
  <si>
    <t>A002</t>
  </si>
  <si>
    <t>R-002</t>
  </si>
  <si>
    <t>FTN-003</t>
  </si>
  <si>
    <t>The system shall transfer post-event test data to the Authoritative Source of Truth with checksum validation and no unauthorized modification with documented configuration, authorization boundary alignment, and traceable evidence for RMF assessment.</t>
  </si>
  <si>
    <t>Medium</t>
  </si>
  <si>
    <t>SC-45; AU-2</t>
  </si>
  <si>
    <t>Demonstrate</t>
  </si>
  <si>
    <t>Successful demonstrate confirms capability, data integrity checks pass, logs are retained, and results are linked to evidence artifact EV-003.</t>
  </si>
  <si>
    <t>EV-003</t>
  </si>
  <si>
    <t>IMS-003</t>
  </si>
  <si>
    <t>A003</t>
  </si>
  <si>
    <t>R-003</t>
  </si>
  <si>
    <t>FTN-004</t>
  </si>
  <si>
    <t>The system shall maintain authoritative time synchronization across network nodes within mission-defined tolerance with documented configuration, authorization boundary alignment, and traceable evidence for RMF assessment.</t>
  </si>
  <si>
    <t>AU-2; SI-4</t>
  </si>
  <si>
    <t>Analyze</t>
  </si>
  <si>
    <t>Successful analyze confirms capability, data integrity checks pass, logs are retained, and results are linked to evidence artifact EV-004.</t>
  </si>
  <si>
    <t>EV-004</t>
  </si>
  <si>
    <t>IMS-004</t>
  </si>
  <si>
    <t>A004</t>
  </si>
  <si>
    <t>R-004</t>
  </si>
  <si>
    <t>FTN-005</t>
  </si>
  <si>
    <t>The system shall support network administration, maintenance, and secure configuration of all flight test network components with documented configuration, authorization boundary alignment, and traceable evidence for RMF assessment.</t>
  </si>
  <si>
    <t>SI-4; CM-2</t>
  </si>
  <si>
    <t>Successful test confirms capability, data integrity checks pass, logs are retained, and results are linked to evidence artifact EV-005.</t>
  </si>
  <si>
    <t>EV-005</t>
  </si>
  <si>
    <t>IMS-005</t>
  </si>
  <si>
    <t>A005</t>
  </si>
  <si>
    <t>R-005</t>
  </si>
  <si>
    <t>FTN-006</t>
  </si>
  <si>
    <t>The system shall support firmware and software distribution to approved test systems with configuration baseline traceability with documented configuration, authorization boundary alignment, and traceable evidence for RMF assessment.</t>
  </si>
  <si>
    <t>CM-2; SC-7</t>
  </si>
  <si>
    <t>Successful inspect confirms capability, data integrity checks pass, logs are retained, and results are linked to evidence artifact EV-006.</t>
  </si>
  <si>
    <t>EV-006</t>
  </si>
  <si>
    <t>IMS-006</t>
  </si>
  <si>
    <t>A006</t>
  </si>
  <si>
    <t>R-006</t>
  </si>
  <si>
    <t>FTN-007</t>
  </si>
  <si>
    <t>Successful demonstrate confirms capability, data integrity checks pass, logs are retained, and results are linked to evidence artifact EV-007.</t>
  </si>
  <si>
    <t>EV-007</t>
  </si>
  <si>
    <t>IMS-007</t>
  </si>
  <si>
    <t>A007</t>
  </si>
  <si>
    <t>R-007</t>
  </si>
  <si>
    <t>FTN-008</t>
  </si>
  <si>
    <t>Successful analyze confirms capability, data integrity checks pass, logs are retained, and results are linked to evidence artifact EV-008.</t>
  </si>
  <si>
    <t>EV-008</t>
  </si>
  <si>
    <t>IMS-008</t>
  </si>
  <si>
    <t>A008</t>
  </si>
  <si>
    <t>R-008</t>
  </si>
  <si>
    <t>FTN-009</t>
  </si>
  <si>
    <t>Successful test confirms capability, data integrity checks pass, logs are retained, and results are linked to evidence artifact EV-009.</t>
  </si>
  <si>
    <t>EV-009</t>
  </si>
  <si>
    <t>IMS-009</t>
  </si>
  <si>
    <t>A009</t>
  </si>
  <si>
    <t>R-009</t>
  </si>
  <si>
    <t>FTN-010</t>
  </si>
  <si>
    <t>Successful inspect confirms capability, data integrity checks pass, logs are retained, and results are linked to evidence artifact EV-010.</t>
  </si>
  <si>
    <t>EV-010</t>
  </si>
  <si>
    <t>IMS-010</t>
  </si>
  <si>
    <t>A010</t>
  </si>
  <si>
    <t>R-010</t>
  </si>
  <si>
    <t>FTN-011</t>
  </si>
  <si>
    <t>Successful demonstrate confirms capability, data integrity checks pass, logs are retained, and results are linked to evidence artifact EV-011.</t>
  </si>
  <si>
    <t>EV-011</t>
  </si>
  <si>
    <t>IMS-011</t>
  </si>
  <si>
    <t>A011</t>
  </si>
  <si>
    <t>R-011</t>
  </si>
  <si>
    <t>FTN-012</t>
  </si>
  <si>
    <t>Successful analyze confirms capability, data integrity checks pass, logs are retained, and results are linked to evidence artifact EV-012.</t>
  </si>
  <si>
    <t>EV-012</t>
  </si>
  <si>
    <t>IMS-012</t>
  </si>
  <si>
    <t>A012</t>
  </si>
  <si>
    <t>R-012</t>
  </si>
  <si>
    <t>FTN-013</t>
  </si>
  <si>
    <t>Successful test confirms capability, data integrity checks pass, logs are retained, and results are linked to evidence artifact EV-013.</t>
  </si>
  <si>
    <t>EV-013</t>
  </si>
  <si>
    <t>IMS-013</t>
  </si>
  <si>
    <t>A013</t>
  </si>
  <si>
    <t>R-013</t>
  </si>
  <si>
    <t>FTN-014</t>
  </si>
  <si>
    <t>Successful inspect confirms capability, data integrity checks pass, logs are retained, and results are linked to evidence artifact EV-014.</t>
  </si>
  <si>
    <t>EV-014</t>
  </si>
  <si>
    <t>IMS-014</t>
  </si>
  <si>
    <t>A014</t>
  </si>
  <si>
    <t>R-014</t>
  </si>
  <si>
    <t>FTN-015</t>
  </si>
  <si>
    <t>Successful demonstrate confirms capability, data integrity checks pass, logs are retained, and results are linked to evidence artifact EV-015.</t>
  </si>
  <si>
    <t>EV-015</t>
  </si>
  <si>
    <t>IMS-015</t>
  </si>
  <si>
    <t>A015</t>
  </si>
  <si>
    <t>R-015</t>
  </si>
  <si>
    <t>FTN-016</t>
  </si>
  <si>
    <t>Successful analyze confirms capability, data integrity checks pass, logs are retained, and results are linked to evidence artifact EV-016.</t>
  </si>
  <si>
    <t>EV-016</t>
  </si>
  <si>
    <t>IMS-016</t>
  </si>
  <si>
    <t>A016</t>
  </si>
  <si>
    <t>R-016</t>
  </si>
  <si>
    <t>FTN-017</t>
  </si>
  <si>
    <t>Successful test confirms capability, data integrity checks pass, logs are retained, and results are linked to evidence artifact EV-017.</t>
  </si>
  <si>
    <t>EV-017</t>
  </si>
  <si>
    <t>A017</t>
  </si>
  <si>
    <t>R-017</t>
  </si>
  <si>
    <t>FTN-018</t>
  </si>
  <si>
    <t>Successful inspect confirms capability, data integrity checks pass, logs are retained, and results are linked to evidence artifact EV-018.</t>
  </si>
  <si>
    <t>EV-018</t>
  </si>
  <si>
    <t>A018</t>
  </si>
  <si>
    <t>R-018</t>
  </si>
  <si>
    <t>FTN-019</t>
  </si>
  <si>
    <t>Successful demonstrate confirms capability, data integrity checks pass, logs are retained, and results are linked to evidence artifact EV-019.</t>
  </si>
  <si>
    <t>EV-019</t>
  </si>
  <si>
    <t>R-019</t>
  </si>
  <si>
    <t>FTN-020</t>
  </si>
  <si>
    <t>Successful analyze confirms capability, data integrity checks pass, logs are retained, and results are linked to evidence artifact EV-020.</t>
  </si>
  <si>
    <t>EV-020</t>
  </si>
  <si>
    <t>R-020</t>
  </si>
  <si>
    <t>FTN-021</t>
  </si>
  <si>
    <t>Successful test confirms capability, data integrity checks pass, logs are retained, and results are linked to evidence artifact EV-021.</t>
  </si>
  <si>
    <t>EV-021</t>
  </si>
  <si>
    <t>R-021</t>
  </si>
  <si>
    <t>FTN-022</t>
  </si>
  <si>
    <t>Successful inspect confirms capability, data integrity checks pass, logs are retained, and results are linked to evidence artifact EV-022.</t>
  </si>
  <si>
    <t>EV-022</t>
  </si>
  <si>
    <t>R-022</t>
  </si>
  <si>
    <t>FTN-023</t>
  </si>
  <si>
    <t>Successful demonstrate confirms capability, data integrity checks pass, logs are retained, and results are linked to evidence artifact EV-023.</t>
  </si>
  <si>
    <t>EV-023</t>
  </si>
  <si>
    <t>R-023</t>
  </si>
  <si>
    <t>FTN-024</t>
  </si>
  <si>
    <t>Successful analyze confirms capability, data integrity checks pass, logs are retained, and results are linked to evidence artifact EV-024.</t>
  </si>
  <si>
    <t>EV-024</t>
  </si>
  <si>
    <t>R-024</t>
  </si>
  <si>
    <t>FN-001</t>
  </si>
  <si>
    <t>Factory Network</t>
  </si>
  <si>
    <t>The system shall provide a secure factory test environment for development, integration, certification, and release of software and firmware with documented configuration, authorization boundary alignment, and traceable evidence for RMF assessment.</t>
  </si>
  <si>
    <t>CM-2; CM-6</t>
  </si>
  <si>
    <t>Successful test confirms requirement behavior, interface/configuration records match the approved baseline, and no critical defects remain open.</t>
  </si>
  <si>
    <t>EV-025</t>
  </si>
  <si>
    <t>R-025</t>
  </si>
  <si>
    <t>FN-002</t>
  </si>
  <si>
    <t>The system shall validate software and firmware artifacts prior to release using approved build, test, and certification records with documented configuration, authorization boundary alignment, and traceable evidence for RMF assessment.</t>
  </si>
  <si>
    <t>CM-6; SC-8</t>
  </si>
  <si>
    <t>Successful inspect confirms requirement behavior, interface/configuration records match the approved baseline, and no critical defects remain open.</t>
  </si>
  <si>
    <t>EV-026</t>
  </si>
  <si>
    <t>R-026</t>
  </si>
  <si>
    <t>FN-003</t>
  </si>
  <si>
    <t>The system shall support disconnected lab maintenance machines for controlled update of test equipment with documented configuration, authorization boundary alignment, and traceable evidence for RMF assessment.</t>
  </si>
  <si>
    <t>SC-8; SC-28</t>
  </si>
  <si>
    <t>Successful demonstrate confirms requirement behavior, interface/configuration records match the approved baseline, and no critical defects remain open.</t>
  </si>
  <si>
    <t>EV-027</t>
  </si>
  <si>
    <t>R-027</t>
  </si>
  <si>
    <t>FN-004</t>
  </si>
  <si>
    <t>The system shall maintain configuration control and rollback capability for all factory network components with documented configuration, authorization boundary alignment, and traceable evidence for RMF assessment.</t>
  </si>
  <si>
    <t>SC-28; SA-11</t>
  </si>
  <si>
    <t>Successful analyze confirms requirement behavior, interface/configuration records match the approved baseline, and no critical defects remain open.</t>
  </si>
  <si>
    <t>EV-028</t>
  </si>
  <si>
    <t>R-028</t>
  </si>
  <si>
    <t>FN-005</t>
  </si>
  <si>
    <t>The system shall support secure transfer of certified artifacts to operational test environments with documented configuration, authorization boundary alignment, and traceable evidence for RMF assessment.</t>
  </si>
  <si>
    <t>SA-11; AC-3</t>
  </si>
  <si>
    <t>EV-029</t>
  </si>
  <si>
    <t>R-029</t>
  </si>
  <si>
    <t>FN-006</t>
  </si>
  <si>
    <t>AC-3; CM-2</t>
  </si>
  <si>
    <t>EV-030</t>
  </si>
  <si>
    <t>R-030</t>
  </si>
  <si>
    <t>FN-007</t>
  </si>
  <si>
    <t>EV-031</t>
  </si>
  <si>
    <t>R-031</t>
  </si>
  <si>
    <t>FN-008</t>
  </si>
  <si>
    <t>EV-032</t>
  </si>
  <si>
    <t>R-032</t>
  </si>
  <si>
    <t>FN-009</t>
  </si>
  <si>
    <t>EV-033</t>
  </si>
  <si>
    <t>R-033</t>
  </si>
  <si>
    <t>FN-010</t>
  </si>
  <si>
    <t>EV-034</t>
  </si>
  <si>
    <t>R-034</t>
  </si>
  <si>
    <t>FN-011</t>
  </si>
  <si>
    <t>EV-035</t>
  </si>
  <si>
    <t>R-035</t>
  </si>
  <si>
    <t>FN-012</t>
  </si>
  <si>
    <t>EV-036</t>
  </si>
  <si>
    <t>R-036</t>
  </si>
  <si>
    <t>FN-013</t>
  </si>
  <si>
    <t>EV-037</t>
  </si>
  <si>
    <t>R-037</t>
  </si>
  <si>
    <t>FN-014</t>
  </si>
  <si>
    <t>EV-038</t>
  </si>
  <si>
    <t>R-038</t>
  </si>
  <si>
    <t>FN-015</t>
  </si>
  <si>
    <t>EV-039</t>
  </si>
  <si>
    <t>R-039</t>
  </si>
  <si>
    <t>FN-016</t>
  </si>
  <si>
    <t>EV-040</t>
  </si>
  <si>
    <t>R-040</t>
  </si>
  <si>
    <t>FN-017</t>
  </si>
  <si>
    <t>EV-041</t>
  </si>
  <si>
    <t>R-041</t>
  </si>
  <si>
    <t>FN-018</t>
  </si>
  <si>
    <t>EV-042</t>
  </si>
  <si>
    <t>R-042</t>
  </si>
  <si>
    <t>FN-019</t>
  </si>
  <si>
    <t>EV-043</t>
  </si>
  <si>
    <t>R-043</t>
  </si>
  <si>
    <t>FN-020</t>
  </si>
  <si>
    <t>EV-044</t>
  </si>
  <si>
    <t>R-044</t>
  </si>
  <si>
    <t>FN-021</t>
  </si>
  <si>
    <t>EV-045</t>
  </si>
  <si>
    <t>R-045</t>
  </si>
  <si>
    <t>FN-022</t>
  </si>
  <si>
    <t>EV-046</t>
  </si>
  <si>
    <t>R-046</t>
  </si>
  <si>
    <t>DEE-001</t>
  </si>
  <si>
    <t>Digital Engineering Environment</t>
  </si>
  <si>
    <t>The system shall host authoritative technical data, models, artifacts, and engineering knowledge needed to support digital thread traceability with documented configuration, authorization boundary alignment, and traceable evidence for RMF assessment.</t>
  </si>
  <si>
    <t>AC-3; IA-2</t>
  </si>
  <si>
    <t>Successful test confirms capability, data integrity checks pass, logs are retained, and results are linked to evidence artifact EV-047.</t>
  </si>
  <si>
    <t>EV-047</t>
  </si>
  <si>
    <t>R-047</t>
  </si>
  <si>
    <t>DEE-002</t>
  </si>
  <si>
    <t>The system shall provide common data model relationships between requirements, design, test, certification, and sustainment artifacts with documented configuration, authorization boundary alignment, and traceable evidence for RMF assessment.</t>
  </si>
  <si>
    <t>IA-2; SC-28</t>
  </si>
  <si>
    <t>Successful inspect confirms capability, data integrity checks pass, logs are retained, and results are linked to evidence artifact EV-048.</t>
  </si>
  <si>
    <t>EV-048</t>
  </si>
  <si>
    <t>R-048</t>
  </si>
  <si>
    <t>DEE-003</t>
  </si>
  <si>
    <t>The system shall provide multi-tenant storage, cataloging, search, and retrieval of test and engineering data with documented configuration, authorization boundary alignment, and traceable evidence for RMF assessment.</t>
  </si>
  <si>
    <t>SC-28; SI-10</t>
  </si>
  <si>
    <t>Successful demonstrate confirms capability, data integrity checks pass, logs are retained, and results are linked to evidence artifact EV-049.</t>
  </si>
  <si>
    <t>EV-049</t>
  </si>
  <si>
    <t>R-049</t>
  </si>
  <si>
    <t>DEE-004</t>
  </si>
  <si>
    <t>The system shall support edge node synchronization where authorized users require distributed access with documented configuration, authorization boundary alignment, and traceable evidence for RMF assessment.</t>
  </si>
  <si>
    <t>SI-10; AU-12</t>
  </si>
  <si>
    <t>Successful analyze confirms capability, data integrity checks pass, logs are retained, and results are linked to evidence artifact EV-050.</t>
  </si>
  <si>
    <t>EV-050</t>
  </si>
  <si>
    <t>R-050</t>
  </si>
  <si>
    <t>DEE-005</t>
  </si>
  <si>
    <t>The system shall enforce role-based access controls for all users and data domains with documented configuration, authorization boundary alignment, and traceable evidence for RMF assessment.</t>
  </si>
  <si>
    <t>AU-12; PL-8</t>
  </si>
  <si>
    <t>Successful test confirms capability, data integrity checks pass, logs are retained, and results are linked to evidence artifact EV-051.</t>
  </si>
  <si>
    <t>EV-051</t>
  </si>
  <si>
    <t>R-051</t>
  </si>
  <si>
    <t>DEE-006</t>
  </si>
  <si>
    <t>PL-8; AC-3</t>
  </si>
  <si>
    <t>Successful inspect confirms capability, data integrity checks pass, logs are retained, and results are linked to evidence artifact EV-052.</t>
  </si>
  <si>
    <t>EV-052</t>
  </si>
  <si>
    <t>No</t>
  </si>
  <si>
    <t>R-052</t>
  </si>
  <si>
    <t>DEE-007</t>
  </si>
  <si>
    <t>Successful demonstrate confirms capability, data integrity checks pass, logs are retained, and results are linked to evidence artifact EV-053.</t>
  </si>
  <si>
    <t>EV-053</t>
  </si>
  <si>
    <t>R-053</t>
  </si>
  <si>
    <t>DEE-008</t>
  </si>
  <si>
    <t>Successful analyze confirms capability, data integrity checks pass, logs are retained, and results are linked to evidence artifact EV-054.</t>
  </si>
  <si>
    <t>EV-054</t>
  </si>
  <si>
    <t>R-054</t>
  </si>
  <si>
    <t>DEE-009</t>
  </si>
  <si>
    <t>Successful test confirms capability, data integrity checks pass, logs are retained, and results are linked to evidence artifact EV-055.</t>
  </si>
  <si>
    <t>EV-055</t>
  </si>
  <si>
    <t>R-055</t>
  </si>
  <si>
    <t>DEE-010</t>
  </si>
  <si>
    <t>Successful inspect confirms capability, data integrity checks pass, logs are retained, and results are linked to evidence artifact EV-056.</t>
  </si>
  <si>
    <t>EV-056</t>
  </si>
  <si>
    <t>R-056</t>
  </si>
  <si>
    <t>DEE-011</t>
  </si>
  <si>
    <t>Successful demonstrate confirms capability, data integrity checks pass, logs are retained, and results are linked to evidence artifact EV-057.</t>
  </si>
  <si>
    <t>EV-057</t>
  </si>
  <si>
    <t>R-057</t>
  </si>
  <si>
    <t>DEE-012</t>
  </si>
  <si>
    <t>Successful analyze confirms capability, data integrity checks pass, logs are retained, and results are linked to evidence artifact EV-058.</t>
  </si>
  <si>
    <t>EV-058</t>
  </si>
  <si>
    <t>R-058</t>
  </si>
  <si>
    <t>DEE-013</t>
  </si>
  <si>
    <t>Successful test confirms capability, data integrity checks pass, logs are retained, and results are linked to evidence artifact EV-059.</t>
  </si>
  <si>
    <t>EV-059</t>
  </si>
  <si>
    <t>R-059</t>
  </si>
  <si>
    <t>DEE-014</t>
  </si>
  <si>
    <t>Successful inspect confirms capability, data integrity checks pass, logs are retained, and results are linked to evidence artifact EV-060.</t>
  </si>
  <si>
    <t>EV-060</t>
  </si>
  <si>
    <t>R-060</t>
  </si>
  <si>
    <t>DEE-015</t>
  </si>
  <si>
    <t>Successful demonstrate confirms capability, data integrity checks pass, logs are retained, and results are linked to evidence artifact EV-061.</t>
  </si>
  <si>
    <t>EV-061</t>
  </si>
  <si>
    <t>R-061</t>
  </si>
  <si>
    <t>DEE-016</t>
  </si>
  <si>
    <t>Successful analyze confirms capability, data integrity checks pass, logs are retained, and results are linked to evidence artifact EV-062.</t>
  </si>
  <si>
    <t>EV-062</t>
  </si>
  <si>
    <t>R-062</t>
  </si>
  <si>
    <t>DEE-017</t>
  </si>
  <si>
    <t>Successful test confirms capability, data integrity checks pass, logs are retained, and results are linked to evidence artifact EV-063.</t>
  </si>
  <si>
    <t>EV-063</t>
  </si>
  <si>
    <t>R-063</t>
  </si>
  <si>
    <t>DEE-018</t>
  </si>
  <si>
    <t>Successful inspect confirms capability, data integrity checks pass, logs are retained, and results are linked to evidence artifact EV-064.</t>
  </si>
  <si>
    <t>EV-064</t>
  </si>
  <si>
    <t>R-064</t>
  </si>
  <si>
    <t>DEE-019</t>
  </si>
  <si>
    <t>Successful demonstrate confirms capability, data integrity checks pass, logs are retained, and results are linked to evidence artifact EV-065.</t>
  </si>
  <si>
    <t>EV-065</t>
  </si>
  <si>
    <t>R-065</t>
  </si>
  <si>
    <t>DEE-020</t>
  </si>
  <si>
    <t>Successful analyze confirms capability, data integrity checks pass, logs are retained, and results are linked to evidence artifact EV-066.</t>
  </si>
  <si>
    <t>EV-066</t>
  </si>
  <si>
    <t>R-066</t>
  </si>
  <si>
    <t>DEE-021</t>
  </si>
  <si>
    <t>Successful test confirms capability, data integrity checks pass, logs are retained, and results are linked to evidence artifact EV-067.</t>
  </si>
  <si>
    <t>EV-067</t>
  </si>
  <si>
    <t>R-067</t>
  </si>
  <si>
    <t>DEE-022</t>
  </si>
  <si>
    <t>Successful inspect confirms capability, data integrity checks pass, logs are retained, and results are linked to evidence artifact EV-068.</t>
  </si>
  <si>
    <t>EV-068</t>
  </si>
  <si>
    <t>R-068</t>
  </si>
  <si>
    <t>DEE-023</t>
  </si>
  <si>
    <t>Successful demonstrate confirms capability, data integrity checks pass, logs are retained, and results are linked to evidence artifact EV-069.</t>
  </si>
  <si>
    <t>EV-069</t>
  </si>
  <si>
    <t>R-069</t>
  </si>
  <si>
    <t>DATA-001</t>
  </si>
  <si>
    <t>Data Repository / ASoT</t>
  </si>
  <si>
    <t>The system shall ingest data from standalone sources, test sets, repositories, and approved external feeds with documented configuration, authorization boundary alignment, and traceable evidence for RMF assessment.</t>
  </si>
  <si>
    <t>SC-28; SC-8</t>
  </si>
  <si>
    <t>Successful test confirms capability, data integrity checks pass, logs are retained, and results are linked to evidence artifact EV-070.</t>
  </si>
  <si>
    <t>EV-070</t>
  </si>
  <si>
    <t>R-070</t>
  </si>
  <si>
    <t>DATA-002</t>
  </si>
  <si>
    <t>The system shall tag, catalog, index, and retain test data so it is searchable by event, source, classification, timestamp, and artifact type with documented configuration, authorization boundary alignment, and traceable evidence for RMF assessment.</t>
  </si>
  <si>
    <t>SC-8; AU-9</t>
  </si>
  <si>
    <t>Successful inspect confirms capability, data integrity checks pass, logs are retained, and results are linked to evidence artifact EV-071.</t>
  </si>
  <si>
    <t>EV-071</t>
  </si>
  <si>
    <t>R-071</t>
  </si>
  <si>
    <t>DATA-003</t>
  </si>
  <si>
    <t>The system shall protect data at rest using approved cryptographic mechanisms and auditable key lifecycle controls with documented configuration, authorization boundary alignment, and traceable evidence for RMF assessment.</t>
  </si>
  <si>
    <t>AU-9; AC-6</t>
  </si>
  <si>
    <t>Successful demonstrate confirms capability, data integrity checks pass, logs are retained, and results are linked to evidence artifact EV-072.</t>
  </si>
  <si>
    <t>EV-072</t>
  </si>
  <si>
    <t>R-072</t>
  </si>
  <si>
    <t>DATA-004</t>
  </si>
  <si>
    <t>The system shall provide repository availability and integrity checks to support post-test analysis and mission reporting with documented configuration, authorization boundary alignment, and traceable evidence for RMF assessment.</t>
  </si>
  <si>
    <t>AC-6; SI-12</t>
  </si>
  <si>
    <t>Successful analyze confirms capability, data integrity checks pass, logs are retained, and results are linked to evidence artifact EV-073.</t>
  </si>
  <si>
    <t>EV-073</t>
  </si>
  <si>
    <t>R-073</t>
  </si>
  <si>
    <t>DATA-005</t>
  </si>
  <si>
    <t>The system shall synchronize data across approved repositories and edge nodes with conflict logging with documented configuration, authorization boundary alignment, and traceable evidence for RMF assessment.</t>
  </si>
  <si>
    <t>SI-12; CP-9</t>
  </si>
  <si>
    <t>Successful test confirms capability, data integrity checks pass, logs are retained, and results are linked to evidence artifact EV-074.</t>
  </si>
  <si>
    <t>EV-074</t>
  </si>
  <si>
    <t>R-074</t>
  </si>
  <si>
    <t>DATA-006</t>
  </si>
  <si>
    <t>CP-9; SC-28</t>
  </si>
  <si>
    <t>Successful inspect confirms capability, data integrity checks pass, logs are retained, and results are linked to evidence artifact EV-075.</t>
  </si>
  <si>
    <t>EV-075</t>
  </si>
  <si>
    <t>R-075</t>
  </si>
  <si>
    <t>DATA-007</t>
  </si>
  <si>
    <t>Successful demonstrate confirms capability, data integrity checks pass, logs are retained, and results are linked to evidence artifact EV-076.</t>
  </si>
  <si>
    <t>EV-076</t>
  </si>
  <si>
    <t>R-076</t>
  </si>
  <si>
    <t>DATA-008</t>
  </si>
  <si>
    <t>Successful analyze confirms capability, data integrity checks pass, logs are retained, and results are linked to evidence artifact EV-077.</t>
  </si>
  <si>
    <t>EV-077</t>
  </si>
  <si>
    <t>R-077</t>
  </si>
  <si>
    <t>DATA-009</t>
  </si>
  <si>
    <t>Successful test confirms capability, data integrity checks pass, logs are retained, and results are linked to evidence artifact EV-078.</t>
  </si>
  <si>
    <t>EV-078</t>
  </si>
  <si>
    <t>R-078</t>
  </si>
  <si>
    <t>DATA-010</t>
  </si>
  <si>
    <t>Successful inspect confirms capability, data integrity checks pass, logs are retained, and results are linked to evidence artifact EV-079.</t>
  </si>
  <si>
    <t>EV-079</t>
  </si>
  <si>
    <t>R-079</t>
  </si>
  <si>
    <t>DATA-011</t>
  </si>
  <si>
    <t>Successful demonstrate confirms capability, data integrity checks pass, logs are retained, and results are linked to evidence artifact EV-080.</t>
  </si>
  <si>
    <t>EV-080</t>
  </si>
  <si>
    <t>R-080</t>
  </si>
  <si>
    <t>DATA-012</t>
  </si>
  <si>
    <t>Successful analyze confirms capability, data integrity checks pass, logs are retained, and results are linked to evidence artifact EV-081.</t>
  </si>
  <si>
    <t>EV-081</t>
  </si>
  <si>
    <t>R-081</t>
  </si>
  <si>
    <t>DATA-013</t>
  </si>
  <si>
    <t>Successful test confirms capability, data integrity checks pass, logs are retained, and results are linked to evidence artifact EV-082.</t>
  </si>
  <si>
    <t>EV-082</t>
  </si>
  <si>
    <t>R-082</t>
  </si>
  <si>
    <t>DATA-014</t>
  </si>
  <si>
    <t>Successful inspect confirms capability, data integrity checks pass, logs are retained, and results are linked to evidence artifact EV-083.</t>
  </si>
  <si>
    <t>EV-083</t>
  </si>
  <si>
    <t>R-083</t>
  </si>
  <si>
    <t>DATA-015</t>
  </si>
  <si>
    <t>Successful demonstrate confirms capability, data integrity checks pass, logs are retained, and results are linked to evidence artifact EV-084.</t>
  </si>
  <si>
    <t>EV-084</t>
  </si>
  <si>
    <t>R-084</t>
  </si>
  <si>
    <t>DATA-016</t>
  </si>
  <si>
    <t>Successful analyze confirms capability, data integrity checks pass, logs are retained, and results are linked to evidence artifact EV-085.</t>
  </si>
  <si>
    <t>EV-085</t>
  </si>
  <si>
    <t>R-085</t>
  </si>
  <si>
    <t>DATA-017</t>
  </si>
  <si>
    <t>Successful test confirms capability, data integrity checks pass, logs are retained, and results are linked to evidence artifact EV-086.</t>
  </si>
  <si>
    <t>EV-086</t>
  </si>
  <si>
    <t>R-086</t>
  </si>
  <si>
    <t>DATA-018</t>
  </si>
  <si>
    <t>Successful inspect confirms capability, data integrity checks pass, logs are retained, and results are linked to evidence artifact EV-087.</t>
  </si>
  <si>
    <t>EV-087</t>
  </si>
  <si>
    <t>R-087</t>
  </si>
  <si>
    <t>DATA-019</t>
  </si>
  <si>
    <t>Successful demonstrate confirms capability, data integrity checks pass, logs are retained, and results are linked to evidence artifact EV-088.</t>
  </si>
  <si>
    <t>EV-088</t>
  </si>
  <si>
    <t>R-088</t>
  </si>
  <si>
    <t>DATA-020</t>
  </si>
  <si>
    <t>Successful analyze confirms capability, data integrity checks pass, logs are retained, and results are linked to evidence artifact EV-089.</t>
  </si>
  <si>
    <t>EV-089</t>
  </si>
  <si>
    <t>R-089</t>
  </si>
  <si>
    <t>DATA-021</t>
  </si>
  <si>
    <t>Successful test confirms capability, data integrity checks pass, logs are retained, and results are linked to evidence artifact EV-090.</t>
  </si>
  <si>
    <t>EV-090</t>
  </si>
  <si>
    <t>R-090</t>
  </si>
  <si>
    <t>DATA-022</t>
  </si>
  <si>
    <t>Successful inspect confirms capability, data integrity checks pass, logs are retained, and results are linked to evidence artifact EV-091.</t>
  </si>
  <si>
    <t>EV-091</t>
  </si>
  <si>
    <t>R-091</t>
  </si>
  <si>
    <t>CY-001</t>
  </si>
  <si>
    <t>Cybersecurity / RMF</t>
  </si>
  <si>
    <t>The system shall implement RMF activities, artifacts, and evidence needed to support IATT and ATO decisions with documented configuration, authorization boundary alignment, and traceable evidence for RMF assessment.</t>
  </si>
  <si>
    <t>Critical</t>
  </si>
  <si>
    <t>RA-5; CA-2</t>
  </si>
  <si>
    <t>Control implementation evidence is complete, assessment findings are documented, residual risk is captured, and AO review supports the applicable gate.</t>
  </si>
  <si>
    <t>EV-092</t>
  </si>
  <si>
    <t>R-092</t>
  </si>
  <si>
    <t>CY-002</t>
  </si>
  <si>
    <t>The system shall apply selected NIST SP 800-53 controls and document implementation details in the System Security Plan with documented configuration, authorization boundary alignment, and traceable evidence for RMF assessment.</t>
  </si>
  <si>
    <t>CA-2; CA-7</t>
  </si>
  <si>
    <t>EV-093</t>
  </si>
  <si>
    <t>R-093</t>
  </si>
  <si>
    <t>CY-003</t>
  </si>
  <si>
    <t>The system shall identify, scan, triage, and remediate vulnerabilities according to AO-approved timelines with documented configuration, authorization boundary alignment, and traceable evidence for RMF assessment.</t>
  </si>
  <si>
    <t>CA-7; SI-4</t>
  </si>
  <si>
    <t>EV-094</t>
  </si>
  <si>
    <t>R-094</t>
  </si>
  <si>
    <t>CY-004</t>
  </si>
  <si>
    <t>The system shall collect, correlate, alert, and retain cybersecurity events from boundary, host, application, and repository components with documented configuration, authorization boundary alignment, and traceable evidence for RMF assessment.</t>
  </si>
  <si>
    <t>SI-4; IR-4</t>
  </si>
  <si>
    <t>EV-095</t>
  </si>
  <si>
    <t>R-095</t>
  </si>
  <si>
    <t>CY-005</t>
  </si>
  <si>
    <t>The system shall implement cryptographic protection for data in transit and data at rest with documented configuration, authorization boundary alignment, and traceable evidence for RMF assessment.</t>
  </si>
  <si>
    <t>IR-4; SC-13</t>
  </si>
  <si>
    <t>EV-096</t>
  </si>
  <si>
    <t>R-096</t>
  </si>
  <si>
    <t>CY-006</t>
  </si>
  <si>
    <t>The system shall maintain a current POA&amp;M for open findings, residual risks, mitigations, owners, and target closure dates with documented configuration, authorization boundary alignment, and traceable evidence for RMF assessment.</t>
  </si>
  <si>
    <t>SC-13; SC-28</t>
  </si>
  <si>
    <t>EV-097</t>
  </si>
  <si>
    <t>R-097</t>
  </si>
  <si>
    <t>CY-007</t>
  </si>
  <si>
    <t>SC-28; IA-5</t>
  </si>
  <si>
    <t>EV-098</t>
  </si>
  <si>
    <t>R-098</t>
  </si>
  <si>
    <t>CY-008</t>
  </si>
  <si>
    <t>IA-5; RA-5</t>
  </si>
  <si>
    <t>EV-099</t>
  </si>
  <si>
    <t>R-099</t>
  </si>
  <si>
    <t>CY-009</t>
  </si>
  <si>
    <t>EV-100</t>
  </si>
  <si>
    <t>R-100</t>
  </si>
  <si>
    <t>CY-010</t>
  </si>
  <si>
    <t>EV-101</t>
  </si>
  <si>
    <t>R-101</t>
  </si>
  <si>
    <t>CY-011</t>
  </si>
  <si>
    <t>EV-102</t>
  </si>
  <si>
    <t>R-102</t>
  </si>
  <si>
    <t>CY-012</t>
  </si>
  <si>
    <t>EV-103</t>
  </si>
  <si>
    <t>R-103</t>
  </si>
  <si>
    <t>CY-013</t>
  </si>
  <si>
    <t>EV-104</t>
  </si>
  <si>
    <t>R-104</t>
  </si>
  <si>
    <t>CY-014</t>
  </si>
  <si>
    <t>EV-105</t>
  </si>
  <si>
    <t>R-105</t>
  </si>
  <si>
    <t>CY-015</t>
  </si>
  <si>
    <t>EV-106</t>
  </si>
  <si>
    <t>R-106</t>
  </si>
  <si>
    <t>CY-016</t>
  </si>
  <si>
    <t>EV-107</t>
  </si>
  <si>
    <t>R-107</t>
  </si>
  <si>
    <t>CY-017</t>
  </si>
  <si>
    <t>EV-108</t>
  </si>
  <si>
    <t>R-108</t>
  </si>
  <si>
    <t>CY-018</t>
  </si>
  <si>
    <t>EV-109</t>
  </si>
  <si>
    <t>R-109</t>
  </si>
  <si>
    <t>CY-019</t>
  </si>
  <si>
    <t>EV-110</t>
  </si>
  <si>
    <t>R-110</t>
  </si>
  <si>
    <t>CY-020</t>
  </si>
  <si>
    <t>EV-111</t>
  </si>
  <si>
    <t>R-111</t>
  </si>
  <si>
    <t>CY-021</t>
  </si>
  <si>
    <t>EV-112</t>
  </si>
  <si>
    <t>R-112</t>
  </si>
  <si>
    <t>CY-022</t>
  </si>
  <si>
    <t>EV-113</t>
  </si>
  <si>
    <t>R-113</t>
  </si>
  <si>
    <t>CY-023</t>
  </si>
  <si>
    <t>EV-114</t>
  </si>
  <si>
    <t>R-114</t>
  </si>
  <si>
    <t>CY-024</t>
  </si>
  <si>
    <t>EV-115</t>
  </si>
  <si>
    <t>R-115</t>
  </si>
  <si>
    <t>CY-025</t>
  </si>
  <si>
    <t>EV-116</t>
  </si>
  <si>
    <t>R-116</t>
  </si>
  <si>
    <t>CY-026</t>
  </si>
  <si>
    <t>EV-117</t>
  </si>
  <si>
    <t>R-117</t>
  </si>
  <si>
    <t>CY-027</t>
  </si>
  <si>
    <t>EV-118</t>
  </si>
  <si>
    <t>R-118</t>
  </si>
  <si>
    <t>CY-028</t>
  </si>
  <si>
    <t>EV-119</t>
  </si>
  <si>
    <t>R-119</t>
  </si>
  <si>
    <t>CY-029</t>
  </si>
  <si>
    <t>EV-120</t>
  </si>
  <si>
    <t>R-120</t>
  </si>
  <si>
    <t>CY-030</t>
  </si>
  <si>
    <t>EV-121</t>
  </si>
  <si>
    <t>R-121</t>
  </si>
  <si>
    <t>INT-001</t>
  </si>
  <si>
    <t>Interfaces &amp; Interconnections</t>
  </si>
  <si>
    <t>The system shall provide controlled interfaces between internal and external networks using approved boundary protection mechanisms with documented configuration, authorization boundary alignment, and traceable evidence for RMF assessment.</t>
  </si>
  <si>
    <t>SC-7; CA-3</t>
  </si>
  <si>
    <t>EV-122</t>
  </si>
  <si>
    <t>R-122</t>
  </si>
  <si>
    <t>INT-002</t>
  </si>
  <si>
    <t>The system shall support bidirectional and unidirectional data exchanges where authorized by interface agreements with documented configuration, authorization boundary alignment, and traceable evidence for RMF assessment.</t>
  </si>
  <si>
    <t>CA-3; AC-4</t>
  </si>
  <si>
    <t>EV-123</t>
  </si>
  <si>
    <t>R-123</t>
  </si>
  <si>
    <t>INT-003</t>
  </si>
  <si>
    <t>The system shall document all interconnections in Interface Control Documents and Interconnection Security Agreements with documented configuration, authorization boundary alignment, and traceable evidence for RMF assessment.</t>
  </si>
  <si>
    <t>AC-4; SC-8</t>
  </si>
  <si>
    <t>EV-124</t>
  </si>
  <si>
    <t>R-124</t>
  </si>
  <si>
    <t>INT-004</t>
  </si>
  <si>
    <t>The system shall validate cross-boundary traffic flows against approved ports, protocols, and services with documented configuration, authorization boundary alignment, and traceable evidence for RMF assessment.</t>
  </si>
  <si>
    <t>SC-8; SC-13</t>
  </si>
  <si>
    <t>EV-125</t>
  </si>
  <si>
    <t>R-125</t>
  </si>
  <si>
    <t>INT-005</t>
  </si>
  <si>
    <t>The system shall isolate system boundaries and prevent unauthorized routing or data leakage with documented configuration, authorization boundary alignment, and traceable evidence for RMF assessment.</t>
  </si>
  <si>
    <t>SC-13; SC-7</t>
  </si>
  <si>
    <t>EV-126</t>
  </si>
  <si>
    <t>R-126</t>
  </si>
  <si>
    <t>INT-006</t>
  </si>
  <si>
    <t>EV-127</t>
  </si>
  <si>
    <t>R-127</t>
  </si>
  <si>
    <t>INT-007</t>
  </si>
  <si>
    <t>EV-128</t>
  </si>
  <si>
    <t>R-128</t>
  </si>
  <si>
    <t>INT-008</t>
  </si>
  <si>
    <t>EV-129</t>
  </si>
  <si>
    <t>R-129</t>
  </si>
  <si>
    <t>INT-009</t>
  </si>
  <si>
    <t>EV-130</t>
  </si>
  <si>
    <t>R-130</t>
  </si>
  <si>
    <t>INT-010</t>
  </si>
  <si>
    <t>EV-131</t>
  </si>
  <si>
    <t>R-131</t>
  </si>
  <si>
    <t>INT-011</t>
  </si>
  <si>
    <t>EV-132</t>
  </si>
  <si>
    <t>R-132</t>
  </si>
  <si>
    <t>INT-012</t>
  </si>
  <si>
    <t>EV-133</t>
  </si>
  <si>
    <t>R-133</t>
  </si>
  <si>
    <t>INT-013</t>
  </si>
  <si>
    <t>EV-134</t>
  </si>
  <si>
    <t>R-134</t>
  </si>
  <si>
    <t>INT-014</t>
  </si>
  <si>
    <t>EV-135</t>
  </si>
  <si>
    <t>R-135</t>
  </si>
  <si>
    <t>INT-015</t>
  </si>
  <si>
    <t>EV-136</t>
  </si>
  <si>
    <t>R-136</t>
  </si>
  <si>
    <t>INT-016</t>
  </si>
  <si>
    <t>EV-137</t>
  </si>
  <si>
    <t>R-137</t>
  </si>
  <si>
    <t>INT-017</t>
  </si>
  <si>
    <t>EV-138</t>
  </si>
  <si>
    <t>R-138</t>
  </si>
  <si>
    <t>INT-018</t>
  </si>
  <si>
    <t>EV-139</t>
  </si>
  <si>
    <t>R-139</t>
  </si>
  <si>
    <t>INT-019</t>
  </si>
  <si>
    <t>EV-140</t>
  </si>
  <si>
    <t>R-140</t>
  </si>
  <si>
    <t>INT-020</t>
  </si>
  <si>
    <t>EV-141</t>
  </si>
  <si>
    <t>R-141</t>
  </si>
  <si>
    <t>OPS-001</t>
  </si>
  <si>
    <t>Operations &amp; Sustainment</t>
  </si>
  <si>
    <t>The system shall provide administration, monitoring, maintenance, incident response, and configuration management processes for all operational components with documented configuration, authorization boundary alignment, and traceable evidence for RMF assessment.</t>
  </si>
  <si>
    <t>AU-6; CM-3</t>
  </si>
  <si>
    <t>EV-142</t>
  </si>
  <si>
    <t>R-142</t>
  </si>
  <si>
    <t>OPS-002</t>
  </si>
  <si>
    <t>The system shall log user and system activity for audit, troubleshooting, and cybersecurity monitoring with documented configuration, authorization boundary alignment, and traceable evidence for RMF assessment.</t>
  </si>
  <si>
    <t>CM-3; CM-8</t>
  </si>
  <si>
    <t>EV-143</t>
  </si>
  <si>
    <t>R-143</t>
  </si>
  <si>
    <t>OPS-003</t>
  </si>
  <si>
    <t>The system shall maintain patching, firmware update, account review, backup, and restoration procedures with documented configuration, authorization boundary alignment, and traceable evidence for RMF assessment.</t>
  </si>
  <si>
    <t>CM-8; CP-10</t>
  </si>
  <si>
    <t>EV-144</t>
  </si>
  <si>
    <t>R-144</t>
  </si>
  <si>
    <t>OPS-004</t>
  </si>
  <si>
    <t>The system shall support continuous monitoring reporting and periodic authorization reviews with documented configuration, authorization boundary alignment, and traceable evidence for RMF assessment.</t>
  </si>
  <si>
    <t>CP-10; IR-5</t>
  </si>
  <si>
    <t>EV-145</t>
  </si>
  <si>
    <t>R-145</t>
  </si>
  <si>
    <t>OPS-005</t>
  </si>
  <si>
    <t>The system shall track operational events and cybersecurity milestones in the Integrated Master Schedule with documented configuration, authorization boundary alignment, and traceable evidence for RMF assessment.</t>
  </si>
  <si>
    <t>IR-5; MA-2</t>
  </si>
  <si>
    <t>EV-146</t>
  </si>
  <si>
    <t>R-146</t>
  </si>
  <si>
    <t>OPS-006</t>
  </si>
  <si>
    <t>MA-2; AU-6</t>
  </si>
  <si>
    <t>EV-147</t>
  </si>
  <si>
    <t>R-147</t>
  </si>
  <si>
    <t>OPS-007</t>
  </si>
  <si>
    <t>EV-148</t>
  </si>
  <si>
    <t>R-148</t>
  </si>
  <si>
    <t>OPS-008</t>
  </si>
  <si>
    <t>EV-149</t>
  </si>
  <si>
    <t>R-149</t>
  </si>
  <si>
    <t>OPS-009</t>
  </si>
  <si>
    <t>EV-150</t>
  </si>
  <si>
    <t>R-150</t>
  </si>
  <si>
    <t>OPS-010</t>
  </si>
  <si>
    <t>EV-151</t>
  </si>
  <si>
    <t>R-151</t>
  </si>
  <si>
    <t>OPS-011</t>
  </si>
  <si>
    <t>EV-152</t>
  </si>
  <si>
    <t>R-152</t>
  </si>
  <si>
    <t>OPS-012</t>
  </si>
  <si>
    <t>EV-153</t>
  </si>
  <si>
    <t>R-153</t>
  </si>
  <si>
    <t>OPS-013</t>
  </si>
  <si>
    <t>EV-154</t>
  </si>
  <si>
    <t>R-154</t>
  </si>
  <si>
    <t>OPS-014</t>
  </si>
  <si>
    <t>EV-155</t>
  </si>
  <si>
    <t>R-155</t>
  </si>
  <si>
    <t>OPS-015</t>
  </si>
  <si>
    <t>EV-156</t>
  </si>
  <si>
    <t>R-156</t>
  </si>
  <si>
    <t>OPS-016</t>
  </si>
  <si>
    <t>EV-157</t>
  </si>
  <si>
    <t>R-157</t>
  </si>
  <si>
    <t>OPS-017</t>
  </si>
  <si>
    <t>EV-158</t>
  </si>
  <si>
    <t>R-158</t>
  </si>
  <si>
    <t>OPS-018</t>
  </si>
  <si>
    <t>EV-159</t>
  </si>
  <si>
    <t>R-159</t>
  </si>
  <si>
    <t>SW-001</t>
  </si>
  <si>
    <t>Software Development &amp; Delivery</t>
  </si>
  <si>
    <t>The system shall integrate with the software development environment and software distribution authoritative source with documented configuration, authorization boundary alignment, and traceable evidence for RMF assessment.</t>
  </si>
  <si>
    <t>SA-10; SA-11</t>
  </si>
  <si>
    <t>EV-160</t>
  </si>
  <si>
    <t>R-160</t>
  </si>
  <si>
    <t>SW-002</t>
  </si>
  <si>
    <t>The system shall support software distribution to test equipment, simulators, and approved operational nodes with documented configuration, authorization boundary alignment, and traceable evidence for RMF assessment.</t>
  </si>
  <si>
    <t>SA-11; CM-5</t>
  </si>
  <si>
    <t>EV-161</t>
  </si>
  <si>
    <t>R-161</t>
  </si>
  <si>
    <t>SW-003</t>
  </si>
  <si>
    <t>The system shall support hardware-in-the-loop test integration with repeatable build and test evidence with documented configuration, authorization boundary alignment, and traceable evidence for RMF assessment.</t>
  </si>
  <si>
    <t>CM-5; CM-7</t>
  </si>
  <si>
    <t>EV-162</t>
  </si>
  <si>
    <t>R-162</t>
  </si>
  <si>
    <t>SW-004</t>
  </si>
  <si>
    <t>The system shall maintain software license services needed to support authorized applications with documented configuration, authorization boundary alignment, and traceable evidence for RMF assessment.</t>
  </si>
  <si>
    <t>CM-7; SI-7</t>
  </si>
  <si>
    <t>EV-163</t>
  </si>
  <si>
    <t>R-163</t>
  </si>
  <si>
    <t>SW-005</t>
  </si>
  <si>
    <t>The system shall ensure software baselines are traceable from source artifact to deployed configuration with documented configuration, authorization boundary alignment, and traceable evidence for RMF assessment.</t>
  </si>
  <si>
    <t>SI-7; AC-6</t>
  </si>
  <si>
    <t>EV-164</t>
  </si>
  <si>
    <t>R-164</t>
  </si>
  <si>
    <t>SW-006</t>
  </si>
  <si>
    <t>AC-6; SA-10</t>
  </si>
  <si>
    <t>EV-165</t>
  </si>
  <si>
    <t>R-165</t>
  </si>
  <si>
    <t>SW-007</t>
  </si>
  <si>
    <t>EV-166</t>
  </si>
  <si>
    <t>R-166</t>
  </si>
  <si>
    <t>SW-008</t>
  </si>
  <si>
    <t>EV-167</t>
  </si>
  <si>
    <t>R-167</t>
  </si>
  <si>
    <t>SW-009</t>
  </si>
  <si>
    <t>EV-168</t>
  </si>
  <si>
    <t>R-168</t>
  </si>
  <si>
    <t>SW-010</t>
  </si>
  <si>
    <t>EV-169</t>
  </si>
  <si>
    <t>R-169</t>
  </si>
  <si>
    <t>SW-011</t>
  </si>
  <si>
    <t>EV-170</t>
  </si>
  <si>
    <t>R-170</t>
  </si>
  <si>
    <t>SW-012</t>
  </si>
  <si>
    <t>EV-171</t>
  </si>
  <si>
    <t>R-171</t>
  </si>
  <si>
    <t>SW-013</t>
  </si>
  <si>
    <t>EV-172</t>
  </si>
  <si>
    <t>R-172</t>
  </si>
  <si>
    <t>SW-014</t>
  </si>
  <si>
    <t>EV-173</t>
  </si>
  <si>
    <t>R-173</t>
  </si>
  <si>
    <t>SW-015</t>
  </si>
  <si>
    <t>EV-174</t>
  </si>
  <si>
    <t>R-174</t>
  </si>
  <si>
    <t>SW-016</t>
  </si>
  <si>
    <t>EV-175</t>
  </si>
  <si>
    <t>R-175</t>
  </si>
  <si>
    <t>SW-017</t>
  </si>
  <si>
    <t>EV-176</t>
  </si>
  <si>
    <t>R-176</t>
  </si>
  <si>
    <t>SW-018</t>
  </si>
  <si>
    <t>EV-177</t>
  </si>
  <si>
    <t>R-177</t>
  </si>
  <si>
    <t>Control ID</t>
  </si>
  <si>
    <t>Family</t>
  </si>
  <si>
    <t>Control Title</t>
  </si>
  <si>
    <t>Linked Requirements</t>
  </si>
  <si>
    <t>Implementation Owner</t>
  </si>
  <si>
    <t>Implementation Status</t>
  </si>
  <si>
    <t>Evidence Required</t>
  </si>
  <si>
    <t>IATT Minimum</t>
  </si>
  <si>
    <t>ATO Minimum</t>
  </si>
  <si>
    <t>Assessment Status</t>
  </si>
  <si>
    <t>AC-3</t>
  </si>
  <si>
    <t>AC</t>
  </si>
  <si>
    <t>Access Enforcement</t>
  </si>
  <si>
    <t>ISSM / Control Owner</t>
  </si>
  <si>
    <t>SSP implementation statement; test evidence; configuration screenshot/log</t>
  </si>
  <si>
    <t>Pending Assessment</t>
  </si>
  <si>
    <t>AC-4</t>
  </si>
  <si>
    <t>Information Flow Enforcement</t>
  </si>
  <si>
    <t>AC-6</t>
  </si>
  <si>
    <t>Least Privilege</t>
  </si>
  <si>
    <t>AU-12</t>
  </si>
  <si>
    <t>AU</t>
  </si>
  <si>
    <t>Audit Generation</t>
  </si>
  <si>
    <t>AU-2</t>
  </si>
  <si>
    <t>Event Logging</t>
  </si>
  <si>
    <t>AU-6</t>
  </si>
  <si>
    <t>Audit Record Review</t>
  </si>
  <si>
    <t>AU-9</t>
  </si>
  <si>
    <t>Audit Protection</t>
  </si>
  <si>
    <t>CA-2</t>
  </si>
  <si>
    <t>CA</t>
  </si>
  <si>
    <t>Control Assessments</t>
  </si>
  <si>
    <t>CA-3</t>
  </si>
  <si>
    <t>Information Exchange</t>
  </si>
  <si>
    <t>CA-7</t>
  </si>
  <si>
    <t>Continuous Monitoring</t>
  </si>
  <si>
    <t>CM-2</t>
  </si>
  <si>
    <t>CM</t>
  </si>
  <si>
    <t>Baseline Configuration</t>
  </si>
  <si>
    <t>As Applicable</t>
  </si>
  <si>
    <t>CM-3</t>
  </si>
  <si>
    <t>Configuration Change Control</t>
  </si>
  <si>
    <t>CM-5</t>
  </si>
  <si>
    <t>Access Restrictions for Change</t>
  </si>
  <si>
    <t>CM-6</t>
  </si>
  <si>
    <t>Configuration Settings</t>
  </si>
  <si>
    <t>CM-7</t>
  </si>
  <si>
    <t>Least Functionality</t>
  </si>
  <si>
    <t>CM-8</t>
  </si>
  <si>
    <t>System Component Inventory</t>
  </si>
  <si>
    <t>CP-10</t>
  </si>
  <si>
    <t>CP</t>
  </si>
  <si>
    <t>System Recovery</t>
  </si>
  <si>
    <t>CP-9</t>
  </si>
  <si>
    <t>System Backup</t>
  </si>
  <si>
    <t>IA-2</t>
  </si>
  <si>
    <t>IA</t>
  </si>
  <si>
    <t>Identification and Authentication</t>
  </si>
  <si>
    <t>IA-5</t>
  </si>
  <si>
    <t>Authenticator Management</t>
  </si>
  <si>
    <t>IR-4</t>
  </si>
  <si>
    <t>IR</t>
  </si>
  <si>
    <t>Incident Handling</t>
  </si>
  <si>
    <t>IR-5</t>
  </si>
  <si>
    <t>Incident Monitoring</t>
  </si>
  <si>
    <t>MA-2</t>
  </si>
  <si>
    <t>MA</t>
  </si>
  <si>
    <t>Controlled Maintenance</t>
  </si>
  <si>
    <t>PL-8</t>
  </si>
  <si>
    <t>PL</t>
  </si>
  <si>
    <t>Security Architecture</t>
  </si>
  <si>
    <t>RA-5</t>
  </si>
  <si>
    <t>RA</t>
  </si>
  <si>
    <t>Vulnerability Monitoring and Scanning</t>
  </si>
  <si>
    <t>SA-10</t>
  </si>
  <si>
    <t>SA</t>
  </si>
  <si>
    <t>Developer Configuration Management</t>
  </si>
  <si>
    <t>SA-11</t>
  </si>
  <si>
    <t>Developer Testing and Evaluation</t>
  </si>
  <si>
    <t>SC-13</t>
  </si>
  <si>
    <t>SC</t>
  </si>
  <si>
    <t>Cryptographic Protection</t>
  </si>
  <si>
    <t>SC-28</t>
  </si>
  <si>
    <t>Protection of Information at Rest</t>
  </si>
  <si>
    <t>SC-45</t>
  </si>
  <si>
    <t>System Time Synchronization</t>
  </si>
  <si>
    <t>SC-7</t>
  </si>
  <si>
    <t>Boundary Protection</t>
  </si>
  <si>
    <t>SC-8</t>
  </si>
  <si>
    <t>Transmission Confidentiality and Integrity</t>
  </si>
  <si>
    <t>SI-10</t>
  </si>
  <si>
    <t>SI</t>
  </si>
  <si>
    <t>Input Validation</t>
  </si>
  <si>
    <t>SI-12</t>
  </si>
  <si>
    <t>Information Management and Retention</t>
  </si>
  <si>
    <t>SI-4</t>
  </si>
  <si>
    <t>System Monitoring</t>
  </si>
  <si>
    <t>SI-7</t>
  </si>
  <si>
    <t>Software/Firmware Integrity</t>
  </si>
  <si>
    <t>Evidence ID</t>
  </si>
  <si>
    <t>Linked Req</t>
  </si>
  <si>
    <t>Linked Control(s)</t>
  </si>
  <si>
    <t>Artifact Name</t>
  </si>
  <si>
    <t>Artifact Type</t>
  </si>
  <si>
    <t>Gate</t>
  </si>
  <si>
    <t>Owner</t>
  </si>
  <si>
    <t>Due Date</t>
  </si>
  <si>
    <t>Repository / Location</t>
  </si>
  <si>
    <t>Review Notes</t>
  </si>
  <si>
    <t>FTN-001 Evidence Package</t>
  </si>
  <si>
    <t>Scan Result</t>
  </si>
  <si>
    <t>IATT</t>
  </si>
  <si>
    <t>Assigned Owner</t>
  </si>
  <si>
    <t>Repository path / EV-001</t>
  </si>
  <si>
    <t>FTN-002 Evidence Package</t>
  </si>
  <si>
    <t>STIG Checklist</t>
  </si>
  <si>
    <t>Repository path / EV-002</t>
  </si>
  <si>
    <t>FTN-003 Evidence Package</t>
  </si>
  <si>
    <t>Config Export</t>
  </si>
  <si>
    <t>ATO</t>
  </si>
  <si>
    <t>Repository path / EV-003</t>
  </si>
  <si>
    <t>FTN-004 Evidence Package</t>
  </si>
  <si>
    <t>Test Report</t>
  </si>
  <si>
    <t>Repository path / EV-004</t>
  </si>
  <si>
    <t>FTN-005 Evidence Package</t>
  </si>
  <si>
    <t>Diagram</t>
  </si>
  <si>
    <t>Repository path / EV-005</t>
  </si>
  <si>
    <t>FTN-006 Evidence Package</t>
  </si>
  <si>
    <t>ISA/ICD</t>
  </si>
  <si>
    <t>Repository path / EV-006</t>
  </si>
  <si>
    <t>FTN-007 Evidence Package</t>
  </si>
  <si>
    <t>Policy/Plan</t>
  </si>
  <si>
    <t>Repository path / EV-007</t>
  </si>
  <si>
    <t>FTN-008 Evidence Package</t>
  </si>
  <si>
    <t>SSP Section</t>
  </si>
  <si>
    <t>Repository path / EV-008</t>
  </si>
  <si>
    <t>FTN-009 Evidence Package</t>
  </si>
  <si>
    <t>Repository path / EV-009</t>
  </si>
  <si>
    <t>FTN-010 Evidence Package</t>
  </si>
  <si>
    <t>Repository path / EV-010</t>
  </si>
  <si>
    <t>FTN-011 Evidence Package</t>
  </si>
  <si>
    <t>Repository path / EV-011</t>
  </si>
  <si>
    <t>FTN-012 Evidence Package</t>
  </si>
  <si>
    <t>Repository path / EV-012</t>
  </si>
  <si>
    <t>FTN-013 Evidence Package</t>
  </si>
  <si>
    <t>Repository path / EV-013</t>
  </si>
  <si>
    <t>FTN-014 Evidence Package</t>
  </si>
  <si>
    <t>Repository path / EV-014</t>
  </si>
  <si>
    <t>FTN-015 Evidence Package</t>
  </si>
  <si>
    <t>Repository path / EV-015</t>
  </si>
  <si>
    <t>FTN-016 Evidence Package</t>
  </si>
  <si>
    <t>Repository path / EV-016</t>
  </si>
  <si>
    <t>FTN-017 Evidence Package</t>
  </si>
  <si>
    <t>Repository path / EV-017</t>
  </si>
  <si>
    <t>FTN-018 Evidence Package</t>
  </si>
  <si>
    <t>Repository path / EV-018</t>
  </si>
  <si>
    <t>FTN-019 Evidence Package</t>
  </si>
  <si>
    <t>Repository path / EV-019</t>
  </si>
  <si>
    <t>FTN-020 Evidence Package</t>
  </si>
  <si>
    <t>Repository path / EV-020</t>
  </si>
  <si>
    <t>FTN-021 Evidence Package</t>
  </si>
  <si>
    <t>Repository path / EV-021</t>
  </si>
  <si>
    <t>FTN-022 Evidence Package</t>
  </si>
  <si>
    <t>Repository path / EV-022</t>
  </si>
  <si>
    <t>FTN-023 Evidence Package</t>
  </si>
  <si>
    <t>Repository path / EV-023</t>
  </si>
  <si>
    <t>FTN-024 Evidence Package</t>
  </si>
  <si>
    <t>Repository path / EV-024</t>
  </si>
  <si>
    <t>FN-001 Evidence Package</t>
  </si>
  <si>
    <t>Repository path / EV-025</t>
  </si>
  <si>
    <t>FN-002 Evidence Package</t>
  </si>
  <si>
    <t>Repository path / EV-026</t>
  </si>
  <si>
    <t>FN-003 Evidence Package</t>
  </si>
  <si>
    <t>Repository path / EV-027</t>
  </si>
  <si>
    <t>FN-004 Evidence Package</t>
  </si>
  <si>
    <t>Repository path / EV-028</t>
  </si>
  <si>
    <t>FN-005 Evidence Package</t>
  </si>
  <si>
    <t>Repository path / EV-029</t>
  </si>
  <si>
    <t>FN-006 Evidence Package</t>
  </si>
  <si>
    <t>Repository path / EV-030</t>
  </si>
  <si>
    <t>FN-007 Evidence Package</t>
  </si>
  <si>
    <t>Repository path / EV-031</t>
  </si>
  <si>
    <t>FN-008 Evidence Package</t>
  </si>
  <si>
    <t>Repository path / EV-032</t>
  </si>
  <si>
    <t>FN-009 Evidence Package</t>
  </si>
  <si>
    <t>Repository path / EV-033</t>
  </si>
  <si>
    <t>FN-010 Evidence Package</t>
  </si>
  <si>
    <t>Repository path / EV-034</t>
  </si>
  <si>
    <t>FN-011 Evidence Package</t>
  </si>
  <si>
    <t>Repository path / EV-035</t>
  </si>
  <si>
    <t>FN-012 Evidence Package</t>
  </si>
  <si>
    <t>Repository path / EV-036</t>
  </si>
  <si>
    <t>FN-013 Evidence Package</t>
  </si>
  <si>
    <t>Repository path / EV-037</t>
  </si>
  <si>
    <t>FN-014 Evidence Package</t>
  </si>
  <si>
    <t>Repository path / EV-038</t>
  </si>
  <si>
    <t>FN-015 Evidence Package</t>
  </si>
  <si>
    <t>Repository path / EV-039</t>
  </si>
  <si>
    <t>FN-016 Evidence Package</t>
  </si>
  <si>
    <t>Repository path / EV-040</t>
  </si>
  <si>
    <t>FN-017 Evidence Package</t>
  </si>
  <si>
    <t>Repository path / EV-041</t>
  </si>
  <si>
    <t>FN-018 Evidence Package</t>
  </si>
  <si>
    <t>Repository path / EV-042</t>
  </si>
  <si>
    <t>FN-019 Evidence Package</t>
  </si>
  <si>
    <t>Repository path / EV-043</t>
  </si>
  <si>
    <t>FN-020 Evidence Package</t>
  </si>
  <si>
    <t>Repository path / EV-044</t>
  </si>
  <si>
    <t>FN-021 Evidence Package</t>
  </si>
  <si>
    <t>Repository path / EV-045</t>
  </si>
  <si>
    <t>FN-022 Evidence Package</t>
  </si>
  <si>
    <t>Repository path / EV-046</t>
  </si>
  <si>
    <t>DEE-001 Evidence Package</t>
  </si>
  <si>
    <t>Repository path / EV-047</t>
  </si>
  <si>
    <t>DEE-002 Evidence Package</t>
  </si>
  <si>
    <t>Repository path / EV-048</t>
  </si>
  <si>
    <t>DEE-003 Evidence Package</t>
  </si>
  <si>
    <t>Repository path / EV-049</t>
  </si>
  <si>
    <t>DEE-004 Evidence Package</t>
  </si>
  <si>
    <t>Repository path / EV-050</t>
  </si>
  <si>
    <t>DEE-005 Evidence Package</t>
  </si>
  <si>
    <t>Repository path / EV-051</t>
  </si>
  <si>
    <t>DEE-006 Evidence Package</t>
  </si>
  <si>
    <t>Repository path / EV-052</t>
  </si>
  <si>
    <t>DEE-007 Evidence Package</t>
  </si>
  <si>
    <t>Repository path / EV-053</t>
  </si>
  <si>
    <t>DEE-008 Evidence Package</t>
  </si>
  <si>
    <t>Repository path / EV-054</t>
  </si>
  <si>
    <t>DEE-009 Evidence Package</t>
  </si>
  <si>
    <t>Repository path / EV-055</t>
  </si>
  <si>
    <t>DEE-010 Evidence Package</t>
  </si>
  <si>
    <t>Repository path / EV-056</t>
  </si>
  <si>
    <t>DEE-011 Evidence Package</t>
  </si>
  <si>
    <t>Repository path / EV-057</t>
  </si>
  <si>
    <t>DEE-012 Evidence Package</t>
  </si>
  <si>
    <t>Repository path / EV-058</t>
  </si>
  <si>
    <t>DEE-013 Evidence Package</t>
  </si>
  <si>
    <t>Repository path / EV-059</t>
  </si>
  <si>
    <t>DEE-014 Evidence Package</t>
  </si>
  <si>
    <t>Repository path / EV-060</t>
  </si>
  <si>
    <t>DEE-015 Evidence Package</t>
  </si>
  <si>
    <t>Repository path / EV-061</t>
  </si>
  <si>
    <t>DEE-016 Evidence Package</t>
  </si>
  <si>
    <t>Repository path / EV-062</t>
  </si>
  <si>
    <t>DEE-017 Evidence Package</t>
  </si>
  <si>
    <t>Repository path / EV-063</t>
  </si>
  <si>
    <t>DEE-018 Evidence Package</t>
  </si>
  <si>
    <t>Repository path / EV-064</t>
  </si>
  <si>
    <t>DEE-019 Evidence Package</t>
  </si>
  <si>
    <t>Repository path / EV-065</t>
  </si>
  <si>
    <t>DEE-020 Evidence Package</t>
  </si>
  <si>
    <t>Repository path / EV-066</t>
  </si>
  <si>
    <t>DEE-021 Evidence Package</t>
  </si>
  <si>
    <t>Repository path / EV-067</t>
  </si>
  <si>
    <t>DEE-022 Evidence Package</t>
  </si>
  <si>
    <t>Repository path / EV-068</t>
  </si>
  <si>
    <t>DEE-023 Evidence Package</t>
  </si>
  <si>
    <t>Repository path / EV-069</t>
  </si>
  <si>
    <t>DATA-001 Evidence Package</t>
  </si>
  <si>
    <t>Repository path / EV-070</t>
  </si>
  <si>
    <t>DATA-002 Evidence Package</t>
  </si>
  <si>
    <t>Repository path / EV-071</t>
  </si>
  <si>
    <t>DATA-003 Evidence Package</t>
  </si>
  <si>
    <t>Repository path / EV-072</t>
  </si>
  <si>
    <t>DATA-004 Evidence Package</t>
  </si>
  <si>
    <t>Repository path / EV-073</t>
  </si>
  <si>
    <t>DATA-005 Evidence Package</t>
  </si>
  <si>
    <t>Repository path / EV-074</t>
  </si>
  <si>
    <t>DATA-006 Evidence Package</t>
  </si>
  <si>
    <t>Repository path / EV-075</t>
  </si>
  <si>
    <t>DATA-007 Evidence Package</t>
  </si>
  <si>
    <t>Repository path / EV-076</t>
  </si>
  <si>
    <t>DATA-008 Evidence Package</t>
  </si>
  <si>
    <t>Repository path / EV-077</t>
  </si>
  <si>
    <t>DATA-009 Evidence Package</t>
  </si>
  <si>
    <t>Repository path / EV-078</t>
  </si>
  <si>
    <t>DATA-010 Evidence Package</t>
  </si>
  <si>
    <t>Repository path / EV-079</t>
  </si>
  <si>
    <t>DATA-011 Evidence Package</t>
  </si>
  <si>
    <t>Repository path / EV-080</t>
  </si>
  <si>
    <t>DATA-012 Evidence Package</t>
  </si>
  <si>
    <t>Repository path / EV-081</t>
  </si>
  <si>
    <t>DATA-013 Evidence Package</t>
  </si>
  <si>
    <t>Repository path / EV-082</t>
  </si>
  <si>
    <t>DATA-014 Evidence Package</t>
  </si>
  <si>
    <t>Repository path / EV-083</t>
  </si>
  <si>
    <t>DATA-015 Evidence Package</t>
  </si>
  <si>
    <t>Repository path / EV-084</t>
  </si>
  <si>
    <t>DATA-016 Evidence Package</t>
  </si>
  <si>
    <t>Repository path / EV-085</t>
  </si>
  <si>
    <t>DATA-017 Evidence Package</t>
  </si>
  <si>
    <t>Repository path / EV-086</t>
  </si>
  <si>
    <t>DATA-018 Evidence Package</t>
  </si>
  <si>
    <t>Repository path / EV-087</t>
  </si>
  <si>
    <t>DATA-019 Evidence Package</t>
  </si>
  <si>
    <t>Repository path / EV-088</t>
  </si>
  <si>
    <t>DATA-020 Evidence Package</t>
  </si>
  <si>
    <t>Repository path / EV-089</t>
  </si>
  <si>
    <t>DATA-021 Evidence Package</t>
  </si>
  <si>
    <t>Repository path / EV-090</t>
  </si>
  <si>
    <t>DATA-022 Evidence Package</t>
  </si>
  <si>
    <t>Repository path / EV-091</t>
  </si>
  <si>
    <t>CY-001 Evidence Package</t>
  </si>
  <si>
    <t>Repository path / EV-092</t>
  </si>
  <si>
    <t>CY-002 Evidence Package</t>
  </si>
  <si>
    <t>Repository path / EV-093</t>
  </si>
  <si>
    <t>CY-003 Evidence Package</t>
  </si>
  <si>
    <t>Repository path / EV-094</t>
  </si>
  <si>
    <t>CY-004 Evidence Package</t>
  </si>
  <si>
    <t>Repository path / EV-095</t>
  </si>
  <si>
    <t>CY-005 Evidence Package</t>
  </si>
  <si>
    <t>Repository path / EV-096</t>
  </si>
  <si>
    <t>CY-006 Evidence Package</t>
  </si>
  <si>
    <t>Repository path / EV-097</t>
  </si>
  <si>
    <t>CY-007 Evidence Package</t>
  </si>
  <si>
    <t>Repository path / EV-098</t>
  </si>
  <si>
    <t>CY-008 Evidence Package</t>
  </si>
  <si>
    <t>Repository path / EV-099</t>
  </si>
  <si>
    <t>CY-009 Evidence Package</t>
  </si>
  <si>
    <t>Repository path / EV-100</t>
  </si>
  <si>
    <t>CY-010 Evidence Package</t>
  </si>
  <si>
    <t>Repository path / EV-101</t>
  </si>
  <si>
    <t>CY-011 Evidence Package</t>
  </si>
  <si>
    <t>Repository path / EV-102</t>
  </si>
  <si>
    <t>CY-012 Evidence Package</t>
  </si>
  <si>
    <t>Repository path / EV-103</t>
  </si>
  <si>
    <t>CY-013 Evidence Package</t>
  </si>
  <si>
    <t>Repository path / EV-104</t>
  </si>
  <si>
    <t>CY-014 Evidence Package</t>
  </si>
  <si>
    <t>Repository path / EV-105</t>
  </si>
  <si>
    <t>CY-015 Evidence Package</t>
  </si>
  <si>
    <t>Repository path / EV-106</t>
  </si>
  <si>
    <t>CY-016 Evidence Package</t>
  </si>
  <si>
    <t>Repository path / EV-107</t>
  </si>
  <si>
    <t>CY-017 Evidence Package</t>
  </si>
  <si>
    <t>Repository path / EV-108</t>
  </si>
  <si>
    <t>CY-018 Evidence Package</t>
  </si>
  <si>
    <t>Repository path / EV-109</t>
  </si>
  <si>
    <t>CY-019 Evidence Package</t>
  </si>
  <si>
    <t>Repository path / EV-110</t>
  </si>
  <si>
    <t>CY-020 Evidence Package</t>
  </si>
  <si>
    <t>Repository path / EV-111</t>
  </si>
  <si>
    <t>CY-021 Evidence Package</t>
  </si>
  <si>
    <t>Repository path / EV-112</t>
  </si>
  <si>
    <t>CY-022 Evidence Package</t>
  </si>
  <si>
    <t>Repository path / EV-113</t>
  </si>
  <si>
    <t>CY-023 Evidence Package</t>
  </si>
  <si>
    <t>Repository path / EV-114</t>
  </si>
  <si>
    <t>CY-024 Evidence Package</t>
  </si>
  <si>
    <t>Repository path / EV-115</t>
  </si>
  <si>
    <t>CY-025 Evidence Package</t>
  </si>
  <si>
    <t>Repository path / EV-116</t>
  </si>
  <si>
    <t>CY-026 Evidence Package</t>
  </si>
  <si>
    <t>Repository path / EV-117</t>
  </si>
  <si>
    <t>CY-027 Evidence Package</t>
  </si>
  <si>
    <t>Repository path / EV-118</t>
  </si>
  <si>
    <t>CY-028 Evidence Package</t>
  </si>
  <si>
    <t>Repository path / EV-119</t>
  </si>
  <si>
    <t>CY-029 Evidence Package</t>
  </si>
  <si>
    <t>Repository path / EV-120</t>
  </si>
  <si>
    <t>CY-030 Evidence Package</t>
  </si>
  <si>
    <t>Repository path / EV-121</t>
  </si>
  <si>
    <t>INT-001 Evidence Package</t>
  </si>
  <si>
    <t>Repository path / EV-122</t>
  </si>
  <si>
    <t>INT-002 Evidence Package</t>
  </si>
  <si>
    <t>Repository path / EV-123</t>
  </si>
  <si>
    <t>INT-003 Evidence Package</t>
  </si>
  <si>
    <t>Repository path / EV-124</t>
  </si>
  <si>
    <t>INT-004 Evidence Package</t>
  </si>
  <si>
    <t>Repository path / EV-125</t>
  </si>
  <si>
    <t>INT-005 Evidence Package</t>
  </si>
  <si>
    <t>Repository path / EV-126</t>
  </si>
  <si>
    <t>INT-006 Evidence Package</t>
  </si>
  <si>
    <t>Repository path / EV-127</t>
  </si>
  <si>
    <t>INT-007 Evidence Package</t>
  </si>
  <si>
    <t>Repository path / EV-128</t>
  </si>
  <si>
    <t>INT-008 Evidence Package</t>
  </si>
  <si>
    <t>Repository path / EV-129</t>
  </si>
  <si>
    <t>INT-009 Evidence Package</t>
  </si>
  <si>
    <t>Repository path / EV-130</t>
  </si>
  <si>
    <t>INT-010 Evidence Package</t>
  </si>
  <si>
    <t>Repository path / EV-131</t>
  </si>
  <si>
    <t>INT-011 Evidence Package</t>
  </si>
  <si>
    <t>Repository path / EV-132</t>
  </si>
  <si>
    <t>INT-012 Evidence Package</t>
  </si>
  <si>
    <t>Repository path / EV-133</t>
  </si>
  <si>
    <t>INT-013 Evidence Package</t>
  </si>
  <si>
    <t>Repository path / EV-134</t>
  </si>
  <si>
    <t>INT-014 Evidence Package</t>
  </si>
  <si>
    <t>Repository path / EV-135</t>
  </si>
  <si>
    <t>INT-015 Evidence Package</t>
  </si>
  <si>
    <t>Repository path / EV-136</t>
  </si>
  <si>
    <t>INT-016 Evidence Package</t>
  </si>
  <si>
    <t>Repository path / EV-137</t>
  </si>
  <si>
    <t>INT-017 Evidence Package</t>
  </si>
  <si>
    <t>Repository path / EV-138</t>
  </si>
  <si>
    <t>INT-018 Evidence Package</t>
  </si>
  <si>
    <t>Repository path / EV-139</t>
  </si>
  <si>
    <t>INT-019 Evidence Package</t>
  </si>
  <si>
    <t>Repository path / EV-140</t>
  </si>
  <si>
    <t>INT-020 Evidence Package</t>
  </si>
  <si>
    <t>Repository path / EV-141</t>
  </si>
  <si>
    <t>OPS-001 Evidence Package</t>
  </si>
  <si>
    <t>Repository path / EV-142</t>
  </si>
  <si>
    <t>OPS-002 Evidence Package</t>
  </si>
  <si>
    <t>Repository path / EV-143</t>
  </si>
  <si>
    <t>OPS-003 Evidence Package</t>
  </si>
  <si>
    <t>Repository path / EV-144</t>
  </si>
  <si>
    <t>OPS-004 Evidence Package</t>
  </si>
  <si>
    <t>Repository path / EV-145</t>
  </si>
  <si>
    <t>OPS-005 Evidence Package</t>
  </si>
  <si>
    <t>Repository path / EV-146</t>
  </si>
  <si>
    <t>OPS-006 Evidence Package</t>
  </si>
  <si>
    <t>Repository path / EV-147</t>
  </si>
  <si>
    <t>OPS-007 Evidence Package</t>
  </si>
  <si>
    <t>Repository path / EV-148</t>
  </si>
  <si>
    <t>OPS-008 Evidence Package</t>
  </si>
  <si>
    <t>Repository path / EV-149</t>
  </si>
  <si>
    <t>OPS-009 Evidence Package</t>
  </si>
  <si>
    <t>Repository path / EV-150</t>
  </si>
  <si>
    <t>OPS-010 Evidence Package</t>
  </si>
  <si>
    <t>Repository path / EV-151</t>
  </si>
  <si>
    <t>OPS-011 Evidence Package</t>
  </si>
  <si>
    <t>Repository path / EV-152</t>
  </si>
  <si>
    <t>OPS-012 Evidence Package</t>
  </si>
  <si>
    <t>Repository path / EV-153</t>
  </si>
  <si>
    <t>OPS-013 Evidence Package</t>
  </si>
  <si>
    <t>Repository path / EV-154</t>
  </si>
  <si>
    <t>OPS-014 Evidence Package</t>
  </si>
  <si>
    <t>Repository path / EV-155</t>
  </si>
  <si>
    <t>OPS-015 Evidence Package</t>
  </si>
  <si>
    <t>Repository path / EV-156</t>
  </si>
  <si>
    <t>OPS-016 Evidence Package</t>
  </si>
  <si>
    <t>Repository path / EV-157</t>
  </si>
  <si>
    <t>OPS-017 Evidence Package</t>
  </si>
  <si>
    <t>Repository path / EV-158</t>
  </si>
  <si>
    <t>OPS-018 Evidence Package</t>
  </si>
  <si>
    <t>Repository path / EV-159</t>
  </si>
  <si>
    <t>SW-001 Evidence Package</t>
  </si>
  <si>
    <t>Repository path / EV-160</t>
  </si>
  <si>
    <t>SW-002 Evidence Package</t>
  </si>
  <si>
    <t>Repository path / EV-161</t>
  </si>
  <si>
    <t>SW-003 Evidence Package</t>
  </si>
  <si>
    <t>Repository path / EV-162</t>
  </si>
  <si>
    <t>SW-004 Evidence Package</t>
  </si>
  <si>
    <t>Repository path / EV-163</t>
  </si>
  <si>
    <t>SW-005 Evidence Package</t>
  </si>
  <si>
    <t>Repository path / EV-164</t>
  </si>
  <si>
    <t>SW-006 Evidence Package</t>
  </si>
  <si>
    <t>Repository path / EV-165</t>
  </si>
  <si>
    <t>SW-007 Evidence Package</t>
  </si>
  <si>
    <t>Repository path / EV-166</t>
  </si>
  <si>
    <t>SW-008 Evidence Package</t>
  </si>
  <si>
    <t>Repository path / EV-167</t>
  </si>
  <si>
    <t>SW-009 Evidence Package</t>
  </si>
  <si>
    <t>Repository path / EV-168</t>
  </si>
  <si>
    <t>SW-010 Evidence Package</t>
  </si>
  <si>
    <t>Repository path / EV-169</t>
  </si>
  <si>
    <t>SW-011 Evidence Package</t>
  </si>
  <si>
    <t>Repository path / EV-170</t>
  </si>
  <si>
    <t>SW-012 Evidence Package</t>
  </si>
  <si>
    <t>Repository path / EV-171</t>
  </si>
  <si>
    <t>SW-013 Evidence Package</t>
  </si>
  <si>
    <t>Repository path / EV-172</t>
  </si>
  <si>
    <t>SW-014 Evidence Package</t>
  </si>
  <si>
    <t>Repository path / EV-173</t>
  </si>
  <si>
    <t>SW-015 Evidence Package</t>
  </si>
  <si>
    <t>Repository path / EV-174</t>
  </si>
  <si>
    <t>SW-016 Evidence Package</t>
  </si>
  <si>
    <t>Repository path / EV-175</t>
  </si>
  <si>
    <t>SW-017 Evidence Package</t>
  </si>
  <si>
    <t>Repository path / EV-176</t>
  </si>
  <si>
    <t>SW-018 Evidence Package</t>
  </si>
  <si>
    <t>Repository path / EV-177</t>
  </si>
  <si>
    <t>POA&amp;M ID</t>
  </si>
  <si>
    <t>Weakness / Finding</t>
  </si>
  <si>
    <t>Severity</t>
  </si>
  <si>
    <t>Source</t>
  </si>
  <si>
    <t>Open Date</t>
  </si>
  <si>
    <t>Target Closure</t>
  </si>
  <si>
    <t>Days Open</t>
  </si>
  <si>
    <t>Residual Risk</t>
  </si>
  <si>
    <t>IATT Blocker</t>
  </si>
  <si>
    <t>ATO Blocker</t>
  </si>
  <si>
    <t>POAM-001</t>
  </si>
  <si>
    <t>Evidence or control implementation gap for FTN-001</t>
  </si>
  <si>
    <t>Vulnerability Scan</t>
  </si>
  <si>
    <t>Action Owner</t>
  </si>
  <si>
    <t>Open</t>
  </si>
  <si>
    <t>POAM-002</t>
  </si>
  <si>
    <t>Evidence or control implementation gap for FTN-002</t>
  </si>
  <si>
    <t>STIG Review</t>
  </si>
  <si>
    <t>POAM-003</t>
  </si>
  <si>
    <t>Evidence or control implementation gap for FTN-003</t>
  </si>
  <si>
    <t>Low</t>
  </si>
  <si>
    <t>Design Review</t>
  </si>
  <si>
    <t>POAM-004</t>
  </si>
  <si>
    <t>Evidence or control implementation gap for FTN-004</t>
  </si>
  <si>
    <t>Test Event</t>
  </si>
  <si>
    <t>POAM-005</t>
  </si>
  <si>
    <t>Evidence or control implementation gap for FTN-005</t>
  </si>
  <si>
    <t>Assessment</t>
  </si>
  <si>
    <t>POAM-006</t>
  </si>
  <si>
    <t>Evidence or control implementation gap for FTN-006</t>
  </si>
  <si>
    <t>Mitigated</t>
  </si>
  <si>
    <t>POAM-007</t>
  </si>
  <si>
    <t>Evidence or control implementation gap for FTN-007</t>
  </si>
  <si>
    <t>POAM-008</t>
  </si>
  <si>
    <t>Evidence or control implementation gap for FTN-008</t>
  </si>
  <si>
    <t>POAM-009</t>
  </si>
  <si>
    <t>Evidence or control implementation gap for FTN-009</t>
  </si>
  <si>
    <t>POAM-010</t>
  </si>
  <si>
    <t>Evidence or control implementation gap for FTN-010</t>
  </si>
  <si>
    <t>POAM-011</t>
  </si>
  <si>
    <t>Evidence or control implementation gap for FTN-011</t>
  </si>
  <si>
    <t>POAM-012</t>
  </si>
  <si>
    <t>Evidence or control implementation gap for FTN-012</t>
  </si>
  <si>
    <t>POAM-013</t>
  </si>
  <si>
    <t>Evidence or control implementation gap for FTN-013</t>
  </si>
  <si>
    <t>POAM-014</t>
  </si>
  <si>
    <t>Evidence or control implementation gap for FTN-014</t>
  </si>
  <si>
    <t>POAM-015</t>
  </si>
  <si>
    <t>Evidence or control implementation gap for FTN-015</t>
  </si>
  <si>
    <t>POAM-016</t>
  </si>
  <si>
    <t>Evidence or control implementation gap for FTN-016</t>
  </si>
  <si>
    <t>POAM-017</t>
  </si>
  <si>
    <t>Evidence or control implementation gap for FTN-017</t>
  </si>
  <si>
    <t>POAM-018</t>
  </si>
  <si>
    <t>Evidence or control implementation gap for FTN-018</t>
  </si>
  <si>
    <t>POAM-019</t>
  </si>
  <si>
    <t>Evidence or control implementation gap for FTN-019</t>
  </si>
  <si>
    <t>POAM-020</t>
  </si>
  <si>
    <t>Evidence or control implementation gap for FTN-020</t>
  </si>
  <si>
    <t>POAM-021</t>
  </si>
  <si>
    <t>Evidence or control implementation gap for FTN-021</t>
  </si>
  <si>
    <t>POAM-022</t>
  </si>
  <si>
    <t>Evidence or control implementation gap for FTN-022</t>
  </si>
  <si>
    <t>POAM-023</t>
  </si>
  <si>
    <t>Evidence or control implementation gap for FTN-023</t>
  </si>
  <si>
    <t>POAM-024</t>
  </si>
  <si>
    <t>Evidence or control implementation gap for FTN-024</t>
  </si>
  <si>
    <t>POAM-025</t>
  </si>
  <si>
    <t>Evidence or control implementation gap for FN-001</t>
  </si>
  <si>
    <t>POAM-026</t>
  </si>
  <si>
    <t>Evidence or control implementation gap for FN-002</t>
  </si>
  <si>
    <t>POAM-027</t>
  </si>
  <si>
    <t>Evidence or control implementation gap for FN-003</t>
  </si>
  <si>
    <t>POAM-028</t>
  </si>
  <si>
    <t>Evidence or control implementation gap for FN-004</t>
  </si>
  <si>
    <t>POAM-029</t>
  </si>
  <si>
    <t>Evidence or control implementation gap for FN-005</t>
  </si>
  <si>
    <t>POAM-030</t>
  </si>
  <si>
    <t>Evidence or control implementation gap for FN-006</t>
  </si>
  <si>
    <t>POAM-031</t>
  </si>
  <si>
    <t>Evidence or control implementation gap for FN-007</t>
  </si>
  <si>
    <t>POAM-032</t>
  </si>
  <si>
    <t>Evidence or control implementation gap for FN-008</t>
  </si>
  <si>
    <t>POAM-033</t>
  </si>
  <si>
    <t>Evidence or control implementation gap for FN-009</t>
  </si>
  <si>
    <t>POAM-034</t>
  </si>
  <si>
    <t>Evidence or control implementation gap for FN-010</t>
  </si>
  <si>
    <t>POAM-035</t>
  </si>
  <si>
    <t>Evidence or control implementation gap for FN-011</t>
  </si>
  <si>
    <t>POAM-036</t>
  </si>
  <si>
    <t>Evidence or control implementation gap for FN-012</t>
  </si>
  <si>
    <t>POAM-037</t>
  </si>
  <si>
    <t>Evidence or control implementation gap for FN-013</t>
  </si>
  <si>
    <t>POAM-038</t>
  </si>
  <si>
    <t>Evidence or control implementation gap for FN-014</t>
  </si>
  <si>
    <t>POAM-039</t>
  </si>
  <si>
    <t>Evidence or control implementation gap for FN-015</t>
  </si>
  <si>
    <t>POAM-040</t>
  </si>
  <si>
    <t>Evidence or control implementation gap for FN-016</t>
  </si>
  <si>
    <t>POAM-041</t>
  </si>
  <si>
    <t>Evidence or control implementation gap for FN-017</t>
  </si>
  <si>
    <t>POAM-042</t>
  </si>
  <si>
    <t>Evidence or control implementation gap for FN-018</t>
  </si>
  <si>
    <t>POAM-043</t>
  </si>
  <si>
    <t>Evidence or control implementation gap for FN-019</t>
  </si>
  <si>
    <t>POAM-044</t>
  </si>
  <si>
    <t>Evidence or control implementation gap for FN-020</t>
  </si>
  <si>
    <t>POAM-045</t>
  </si>
  <si>
    <t>Evidence or control implementation gap for FN-021</t>
  </si>
  <si>
    <t>POAM-046</t>
  </si>
  <si>
    <t>Evidence or control implementation gap for FN-022</t>
  </si>
  <si>
    <t>POAM-047</t>
  </si>
  <si>
    <t>Evidence or control implementation gap for DEE-001</t>
  </si>
  <si>
    <t>POAM-048</t>
  </si>
  <si>
    <t>Evidence or control implementation gap for DEE-002</t>
  </si>
  <si>
    <t>POAM-049</t>
  </si>
  <si>
    <t>Evidence or control implementation gap for DEE-003</t>
  </si>
  <si>
    <t>POAM-050</t>
  </si>
  <si>
    <t>Evidence or control implementation gap for DEE-004</t>
  </si>
  <si>
    <t>POAM-051</t>
  </si>
  <si>
    <t>Evidence or control implementation gap for DEE-005</t>
  </si>
  <si>
    <t>POAM-052</t>
  </si>
  <si>
    <t>Evidence or control implementation gap for DEE-006</t>
  </si>
  <si>
    <t>POAM-053</t>
  </si>
  <si>
    <t>Evidence or control implementation gap for DEE-007</t>
  </si>
  <si>
    <t>POAM-054</t>
  </si>
  <si>
    <t>Evidence or control implementation gap for DEE-008</t>
  </si>
  <si>
    <t>POAM-055</t>
  </si>
  <si>
    <t>Evidence or control implementation gap for DEE-009</t>
  </si>
  <si>
    <t>POAM-056</t>
  </si>
  <si>
    <t>Evidence or control implementation gap for DEE-010</t>
  </si>
  <si>
    <t>POAM-057</t>
  </si>
  <si>
    <t>Evidence or control implementation gap for DEE-011</t>
  </si>
  <si>
    <t>POAM-058</t>
  </si>
  <si>
    <t>Evidence or control implementation gap for DEE-012</t>
  </si>
  <si>
    <t>POAM-059</t>
  </si>
  <si>
    <t>Evidence or control implementation gap for DEE-013</t>
  </si>
  <si>
    <t>POAM-060</t>
  </si>
  <si>
    <t>Evidence or control implementation gap for DEE-014</t>
  </si>
  <si>
    <t>POAM-061</t>
  </si>
  <si>
    <t>Evidence or control implementation gap for DEE-015</t>
  </si>
  <si>
    <t>POAM-062</t>
  </si>
  <si>
    <t>Evidence or control implementation gap for DEE-016</t>
  </si>
  <si>
    <t>POAM-063</t>
  </si>
  <si>
    <t>Evidence or control implementation gap for DEE-017</t>
  </si>
  <si>
    <t>POAM-064</t>
  </si>
  <si>
    <t>Evidence or control implementation gap for DEE-018</t>
  </si>
  <si>
    <t>POAM-065</t>
  </si>
  <si>
    <t>Evidence or control implementation gap for DEE-019</t>
  </si>
  <si>
    <t>POAM-066</t>
  </si>
  <si>
    <t>Evidence or control implementation gap for DEE-020</t>
  </si>
  <si>
    <t>POAM-067</t>
  </si>
  <si>
    <t>Evidence or control implementation gap for DEE-021</t>
  </si>
  <si>
    <t>POAM-068</t>
  </si>
  <si>
    <t>Evidence or control implementation gap for DEE-022</t>
  </si>
  <si>
    <t>POAM-069</t>
  </si>
  <si>
    <t>Evidence or control implementation gap for DEE-023</t>
  </si>
  <si>
    <t>POAM-070</t>
  </si>
  <si>
    <t>Evidence or control implementation gap for DATA-001</t>
  </si>
  <si>
    <t>POAM-071</t>
  </si>
  <si>
    <t>Evidence or control implementation gap for DATA-002</t>
  </si>
  <si>
    <t>POAM-072</t>
  </si>
  <si>
    <t>Evidence or control implementation gap for DATA-003</t>
  </si>
  <si>
    <t>POAM-073</t>
  </si>
  <si>
    <t>Evidence or control implementation gap for DATA-004</t>
  </si>
  <si>
    <t>POAM-074</t>
  </si>
  <si>
    <t>Evidence or control implementation gap for DATA-005</t>
  </si>
  <si>
    <t>POAM-075</t>
  </si>
  <si>
    <t>Evidence or control implementation gap for DATA-006</t>
  </si>
  <si>
    <t>POAM-076</t>
  </si>
  <si>
    <t>Evidence or control implementation gap for DATA-007</t>
  </si>
  <si>
    <t>POAM-077</t>
  </si>
  <si>
    <t>Evidence or control implementation gap for DATA-008</t>
  </si>
  <si>
    <t>POAM-078</t>
  </si>
  <si>
    <t>Evidence or control implementation gap for DATA-009</t>
  </si>
  <si>
    <t>POAM-079</t>
  </si>
  <si>
    <t>Evidence or control implementation gap for DATA-010</t>
  </si>
  <si>
    <t>POAM-080</t>
  </si>
  <si>
    <t>Evidence or control implementation gap for DATA-011</t>
  </si>
  <si>
    <t>POAM-081</t>
  </si>
  <si>
    <t>Evidence or control implementation gap for DATA-012</t>
  </si>
  <si>
    <t>POAM-082</t>
  </si>
  <si>
    <t>Evidence or control implementation gap for DATA-013</t>
  </si>
  <si>
    <t>POAM-083</t>
  </si>
  <si>
    <t>Evidence or control implementation gap for DATA-014</t>
  </si>
  <si>
    <t>POAM-084</t>
  </si>
  <si>
    <t>Evidence or control implementation gap for DATA-015</t>
  </si>
  <si>
    <t>POAM-085</t>
  </si>
  <si>
    <t>Evidence or control implementation gap for DATA-016</t>
  </si>
  <si>
    <t>POAM-086</t>
  </si>
  <si>
    <t>Evidence or control implementation gap for DATA-017</t>
  </si>
  <si>
    <t>POAM-087</t>
  </si>
  <si>
    <t>Evidence or control implementation gap for DATA-018</t>
  </si>
  <si>
    <t>POAM-088</t>
  </si>
  <si>
    <t>Evidence or control implementation gap for DATA-019</t>
  </si>
  <si>
    <t>POAM-089</t>
  </si>
  <si>
    <t>Evidence or control implementation gap for DATA-020</t>
  </si>
  <si>
    <t>POAM-090</t>
  </si>
  <si>
    <t>Evidence or control implementation gap for DATA-021</t>
  </si>
  <si>
    <t>POAM-091</t>
  </si>
  <si>
    <t>Evidence or control implementation gap for DATA-022</t>
  </si>
  <si>
    <t>POAM-092</t>
  </si>
  <si>
    <t>Evidence or control implementation gap for CY-001</t>
  </si>
  <si>
    <t>POAM-093</t>
  </si>
  <si>
    <t>Evidence or control implementation gap for CY-002</t>
  </si>
  <si>
    <t>POAM-094</t>
  </si>
  <si>
    <t>Evidence or control implementation gap for CY-003</t>
  </si>
  <si>
    <t>POAM-095</t>
  </si>
  <si>
    <t>Evidence or control implementation gap for CY-004</t>
  </si>
  <si>
    <t>POAM-096</t>
  </si>
  <si>
    <t>Evidence or control implementation gap for CY-005</t>
  </si>
  <si>
    <t>POAM-097</t>
  </si>
  <si>
    <t>Evidence or control implementation gap for CY-006</t>
  </si>
  <si>
    <t>POAM-098</t>
  </si>
  <si>
    <t>Evidence or control implementation gap for CY-007</t>
  </si>
  <si>
    <t>POAM-099</t>
  </si>
  <si>
    <t>Evidence or control implementation gap for CY-008</t>
  </si>
  <si>
    <t>POAM-100</t>
  </si>
  <si>
    <t>Evidence or control implementation gap for CY-009</t>
  </si>
  <si>
    <t>POAM-101</t>
  </si>
  <si>
    <t>Evidence or control implementation gap for CY-010</t>
  </si>
  <si>
    <t>POAM-102</t>
  </si>
  <si>
    <t>Evidence or control implementation gap for CY-011</t>
  </si>
  <si>
    <t>POAM-103</t>
  </si>
  <si>
    <t>Evidence or control implementation gap for CY-012</t>
  </si>
  <si>
    <t>POAM-104</t>
  </si>
  <si>
    <t>Evidence or control implementation gap for CY-013</t>
  </si>
  <si>
    <t>POAM-105</t>
  </si>
  <si>
    <t>Evidence or control implementation gap for CY-014</t>
  </si>
  <si>
    <t>POAM-106</t>
  </si>
  <si>
    <t>Evidence or control implementation gap for CY-015</t>
  </si>
  <si>
    <t>POAM-107</t>
  </si>
  <si>
    <t>Evidence or control implementation gap for CY-016</t>
  </si>
  <si>
    <t>POAM-108</t>
  </si>
  <si>
    <t>Evidence or control implementation gap for CY-017</t>
  </si>
  <si>
    <t>POAM-109</t>
  </si>
  <si>
    <t>Evidence or control implementation gap for CY-018</t>
  </si>
  <si>
    <t>POAM-110</t>
  </si>
  <si>
    <t>Evidence or control implementation gap for CY-019</t>
  </si>
  <si>
    <t>POAM-111</t>
  </si>
  <si>
    <t>Evidence or control implementation gap for CY-020</t>
  </si>
  <si>
    <t>POAM-112</t>
  </si>
  <si>
    <t>Evidence or control implementation gap for CY-021</t>
  </si>
  <si>
    <t>POAM-113</t>
  </si>
  <si>
    <t>Evidence or control implementation gap for CY-022</t>
  </si>
  <si>
    <t>POAM-114</t>
  </si>
  <si>
    <t>Evidence or control implementation gap for CY-023</t>
  </si>
  <si>
    <t>POAM-115</t>
  </si>
  <si>
    <t>Evidence or control implementation gap for CY-024</t>
  </si>
  <si>
    <t>POAM-116</t>
  </si>
  <si>
    <t>Evidence or control implementation gap for CY-025</t>
  </si>
  <si>
    <t>POAM-117</t>
  </si>
  <si>
    <t>Evidence or control implementation gap for CY-026</t>
  </si>
  <si>
    <t>POAM-118</t>
  </si>
  <si>
    <t>Evidence or control implementation gap for CY-027</t>
  </si>
  <si>
    <t>POAM-119</t>
  </si>
  <si>
    <t>Evidence or control implementation gap for CY-028</t>
  </si>
  <si>
    <t>POAM-120</t>
  </si>
  <si>
    <t>Evidence or control implementation gap for CY-029</t>
  </si>
  <si>
    <t>Gate Item</t>
  </si>
  <si>
    <t>Entry Criteria</t>
  </si>
  <si>
    <t>Exit Criteria</t>
  </si>
  <si>
    <t>Evidence Source</t>
  </si>
  <si>
    <t>Decision Notes</t>
  </si>
  <si>
    <t>Boundary defined</t>
  </si>
  <si>
    <t>System Owner</t>
  </si>
  <si>
    <t>System boundary draft complete</t>
  </si>
  <si>
    <t>AO/stakeholder review complete</t>
  </si>
  <si>
    <t>System Boundary Diagram</t>
  </si>
  <si>
    <t>Initial SSP complete</t>
  </si>
  <si>
    <t>ISSM</t>
  </si>
  <si>
    <t>Initial controls selected</t>
  </si>
  <si>
    <t>SSP contains IATT minimum controls</t>
  </si>
  <si>
    <t>SSP</t>
  </si>
  <si>
    <t>Initial scan complete</t>
  </si>
  <si>
    <t>Cyber Lead</t>
  </si>
  <si>
    <t>Build available for scan</t>
  </si>
  <si>
    <t>Critical findings documented/mitigated</t>
  </si>
  <si>
    <t>Scan Results</t>
  </si>
  <si>
    <t>ISA/ICD drafted</t>
  </si>
  <si>
    <t>Interface Lead</t>
  </si>
  <si>
    <t>Interfaces identified</t>
  </si>
  <si>
    <t>Interconnections reviewed for test use</t>
  </si>
  <si>
    <t>SAP approved</t>
  </si>
  <si>
    <t>SCA</t>
  </si>
  <si>
    <t>Assessment scope defined</t>
  </si>
  <si>
    <t>SAP accepted for test authorization</t>
  </si>
  <si>
    <t>SAP</t>
  </si>
  <si>
    <t>SAR draft complete</t>
  </si>
  <si>
    <t>Assessment executed</t>
  </si>
  <si>
    <t>Findings documented and risk ranked</t>
  </si>
  <si>
    <t>SAR</t>
  </si>
  <si>
    <t>POA&amp;M established</t>
  </si>
  <si>
    <t>Findings loaded</t>
  </si>
  <si>
    <t>Owners and closure dates assigned</t>
  </si>
  <si>
    <t>POA&amp;M</t>
  </si>
  <si>
    <t>IATT decision package</t>
  </si>
  <si>
    <t>PM / ISSM</t>
  </si>
  <si>
    <t>IATT artifacts complete</t>
  </si>
  <si>
    <t>AO grants IATT or provides conditions</t>
  </si>
  <si>
    <t>Decision Package</t>
  </si>
  <si>
    <t>Final SSP complete</t>
  </si>
  <si>
    <t>IATT findings addressed</t>
  </si>
  <si>
    <t>All operational controls documented</t>
  </si>
  <si>
    <t>Final vulnerability scan complete</t>
  </si>
  <si>
    <t>Production baseline configured</t>
  </si>
  <si>
    <t>No unresolved critical/high findings without approval</t>
  </si>
  <si>
    <t>Control assessment complete</t>
  </si>
  <si>
    <t>All controls implemented</t>
  </si>
  <si>
    <t>SAR completed with residual risk</t>
  </si>
  <si>
    <t>Continuous monitoring plan complete</t>
  </si>
  <si>
    <t>Monitoring sources identified</t>
  </si>
  <si>
    <t>ConMon approved and scheduled</t>
  </si>
  <si>
    <t>ConMon Plan</t>
  </si>
  <si>
    <t>Incident response procedures validated</t>
  </si>
  <si>
    <t>Ops Lead</t>
  </si>
  <si>
    <t>IR plan drafted</t>
  </si>
  <si>
    <t>Tabletop/test completed</t>
  </si>
  <si>
    <t>IR Plan/Test Report</t>
  </si>
  <si>
    <t>Configuration baseline locked</t>
  </si>
  <si>
    <t>CM Lead</t>
  </si>
  <si>
    <t>Assets inventoried</t>
  </si>
  <si>
    <t>Baseline approved and change process active</t>
  </si>
  <si>
    <t>CM Plan / HW-SW List</t>
  </si>
  <si>
    <t>POA&amp;M adjudicated</t>
  </si>
  <si>
    <t>Open findings reviewed</t>
  </si>
  <si>
    <t>Residual risk accepted or mitigated</t>
  </si>
  <si>
    <t>ATO decision package</t>
  </si>
  <si>
    <t>All ATO artifacts complete</t>
  </si>
  <si>
    <t>Task ID</t>
  </si>
  <si>
    <t>Phase</t>
  </si>
  <si>
    <t>Task Name</t>
  </si>
  <si>
    <t>Start Date</t>
  </si>
  <si>
    <t>Finish Date</t>
  </si>
  <si>
    <t>Duration Days</t>
  </si>
  <si>
    <t>Dependency</t>
  </si>
  <si>
    <t>Linked RMF Step</t>
  </si>
  <si>
    <t>Milestone</t>
  </si>
  <si>
    <t>RMF kickoff and stakeholder alignment</t>
  </si>
  <si>
    <t>RMF Start</t>
  </si>
  <si>
    <t>Define system boundary and authorization boundary</t>
  </si>
  <si>
    <t>Boundary Baseline</t>
  </si>
  <si>
    <t>Security categorization and impact analysis</t>
  </si>
  <si>
    <t>Categorization Complete</t>
  </si>
  <si>
    <t>Control baseline selection and tailoring</t>
  </si>
  <si>
    <t>ISSM / SCA</t>
  </si>
  <si>
    <t>Control Baseline</t>
  </si>
  <si>
    <t>Architecture and control implementation design</t>
  </si>
  <si>
    <t>Engineering Lead</t>
  </si>
  <si>
    <t>Design Complete</t>
  </si>
  <si>
    <t>Network and repository build</t>
  </si>
  <si>
    <t>Build Complete</t>
  </si>
  <si>
    <t>STIG hardening and configuration baseline</t>
  </si>
  <si>
    <t>Baseline Locked</t>
  </si>
  <si>
    <t>Initial scans, evidence collection, and test assessment</t>
  </si>
  <si>
    <t>SCA / Cyber Lead</t>
  </si>
  <si>
    <t>Initial Assessment</t>
  </si>
  <si>
    <t>IATT package assembly and review</t>
  </si>
  <si>
    <t>ISSM / PM</t>
  </si>
  <si>
    <t>IATT Review</t>
  </si>
  <si>
    <t>IATT decision milestone</t>
  </si>
  <si>
    <t>AO</t>
  </si>
  <si>
    <t>IATT condition remediation and operational hardening</t>
  </si>
  <si>
    <t>Engineering / Cyber</t>
  </si>
  <si>
    <t>IATT Conditions Closed</t>
  </si>
  <si>
    <t>Final control assessment and final scan</t>
  </si>
  <si>
    <t>Final Assessment</t>
  </si>
  <si>
    <t>ATO package assembly and risk adjudication</t>
  </si>
  <si>
    <t>ATO Review</t>
  </si>
  <si>
    <t>ATO decision milestone</t>
  </si>
  <si>
    <t>Continuous monitoring activation</t>
  </si>
  <si>
    <t>Operations / ISSM</t>
  </si>
  <si>
    <t>ConMon Active</t>
  </si>
  <si>
    <t>Recurring POA&amp;M, scan, and artifact maintenance</t>
  </si>
  <si>
    <t>Operations / Cyber</t>
  </si>
  <si>
    <t>Sustain Authorization</t>
  </si>
  <si>
    <t>CDRL ID</t>
  </si>
  <si>
    <t>Deliverable</t>
  </si>
  <si>
    <t>DID / Artifact Type</t>
  </si>
  <si>
    <t>IATT / ATO</t>
  </si>
  <si>
    <t>Initial Due</t>
  </si>
  <si>
    <t>Recurring Frequency</t>
  </si>
  <si>
    <t>Primary Owner</t>
  </si>
  <si>
    <t>Acceptance / Review Criteria</t>
  </si>
  <si>
    <t>RMF Strategy / Cybersecurity Program Plan</t>
  </si>
  <si>
    <t>Plan</t>
  </si>
  <si>
    <t>2026-05-15</t>
  </si>
  <si>
    <t>As updated</t>
  </si>
  <si>
    <t>Approved RMF strategy and roles</t>
  </si>
  <si>
    <t>Architecture</t>
  </si>
  <si>
    <t>2026-06-05</t>
  </si>
  <si>
    <t>Boundary and interfaces approved</t>
  </si>
  <si>
    <t>Analysis</t>
  </si>
  <si>
    <t>2026-06-19</t>
  </si>
  <si>
    <t>Impact level documented</t>
  </si>
  <si>
    <t>Control Selection and Tailoring Matrix</t>
  </si>
  <si>
    <t>Matrix</t>
  </si>
  <si>
    <t>2026-07-17</t>
  </si>
  <si>
    <t>Controls selected and tailored</t>
  </si>
  <si>
    <t>System Security Plan</t>
  </si>
  <si>
    <t>IATT/ATO</t>
  </si>
  <si>
    <t>2026-09-04</t>
  </si>
  <si>
    <t>Quarterly</t>
  </si>
  <si>
    <t>Implementation statements complete</t>
  </si>
  <si>
    <t>Architecture Model / Network Diagrams</t>
  </si>
  <si>
    <t>2026-11-27</t>
  </si>
  <si>
    <t>Engineering</t>
  </si>
  <si>
    <t>Topology aligns to boundary</t>
  </si>
  <si>
    <t>Configuration Baseline and STIG Evidence</t>
  </si>
  <si>
    <t>Evidence</t>
  </si>
  <si>
    <t>2026-12-25</t>
  </si>
  <si>
    <t>Hardening evidence complete</t>
  </si>
  <si>
    <t>Security Assessment Plan</t>
  </si>
  <si>
    <t>2027-02-05</t>
  </si>
  <si>
    <t>Assessment scope accepted</t>
  </si>
  <si>
    <t>Security Assessment Report Draft</t>
  </si>
  <si>
    <t>2027-03-12</t>
  </si>
  <si>
    <t>Findings documented</t>
  </si>
  <si>
    <t>IATT Decision Package</t>
  </si>
  <si>
    <t>One-time</t>
  </si>
  <si>
    <t>AO decision or conditions</t>
  </si>
  <si>
    <t>POA&amp;M and Remediation Evidence</t>
  </si>
  <si>
    <t>2027-06-25</t>
  </si>
  <si>
    <t>Monthly</t>
  </si>
  <si>
    <t>Findings tracked to closure</t>
  </si>
  <si>
    <t>Final Security Assessment Report</t>
  </si>
  <si>
    <t>2027-08-25</t>
  </si>
  <si>
    <t>Residual risk documented</t>
  </si>
  <si>
    <t>Continuous Monitoring Plan</t>
  </si>
  <si>
    <t>2027-10-04</t>
  </si>
  <si>
    <t>Annual/As updated</t>
  </si>
  <si>
    <t>Monitoring strategy accepted</t>
  </si>
  <si>
    <t>ATO Decision Package</t>
  </si>
  <si>
    <t>AO ATO decision</t>
  </si>
  <si>
    <t>Continuous Monitoring Reports</t>
  </si>
  <si>
    <t>Report</t>
  </si>
  <si>
    <t>2027-11-13</t>
  </si>
  <si>
    <t>Monthly/Quarterly</t>
  </si>
  <si>
    <t>Ongoing metrics reported</t>
  </si>
  <si>
    <t>Updated POA&amp;M / Risk Register</t>
  </si>
  <si>
    <t>POA&amp;M/Risk</t>
  </si>
  <si>
    <t>2027-12-01</t>
  </si>
  <si>
    <t>Risks current and actionable</t>
  </si>
  <si>
    <t>Risk ID</t>
  </si>
  <si>
    <t>Linked Control</t>
  </si>
  <si>
    <t>Risk Statement</t>
  </si>
  <si>
    <t>Cause</t>
  </si>
  <si>
    <t>Impact</t>
  </si>
  <si>
    <t>Likelihood</t>
  </si>
  <si>
    <t>Risk Score</t>
  </si>
  <si>
    <t>Risk Level</t>
  </si>
  <si>
    <t>Mitigation</t>
  </si>
  <si>
    <t>If FTN-001 is not fully implemented, RMF evidence or mission readiness may be delayed.</t>
  </si>
  <si>
    <t>Incomplete implementation evidence or configuration variance</t>
  </si>
  <si>
    <t>Assign owner, collect evidence, retest, and update POA&amp;M until closure.</t>
  </si>
  <si>
    <t>Risk Owner</t>
  </si>
  <si>
    <t>If FTN-002 is not fully implemented, RMF evidence or mission readiness may be delayed.</t>
  </si>
  <si>
    <t>If FTN-003 is not fully implemented, RMF evidence or mission readiness may be delayed.</t>
  </si>
  <si>
    <t>If FTN-004 is not fully implemented, RMF evidence or mission readiness may be delayed.</t>
  </si>
  <si>
    <t>If FTN-005 is not fully implemented, RMF evidence or mission readiness may be delayed.</t>
  </si>
  <si>
    <t>If FTN-006 is not fully implemented, RMF evidence or mission readiness may be delayed.</t>
  </si>
  <si>
    <t>If FTN-007 is not fully implemented, RMF evidence or mission readiness may be delayed.</t>
  </si>
  <si>
    <t>If FTN-008 is not fully implemented, RMF evidence or mission readiness may be delayed.</t>
  </si>
  <si>
    <t>If FTN-009 is not fully implemented, RMF evidence or mission readiness may be delayed.</t>
  </si>
  <si>
    <t>If FTN-010 is not fully implemented, RMF evidence or mission readiness may be delayed.</t>
  </si>
  <si>
    <t>If FTN-011 is not fully implemented, RMF evidence or mission readiness may be delayed.</t>
  </si>
  <si>
    <t>If FTN-012 is not fully implemented, RMF evidence or mission readiness may be delayed.</t>
  </si>
  <si>
    <t>If FTN-013 is not fully implemented, RMF evidence or mission readiness may be delayed.</t>
  </si>
  <si>
    <t>If FTN-014 is not fully implemented, RMF evidence or mission readiness may be delayed.</t>
  </si>
  <si>
    <t>If FTN-015 is not fully implemented, RMF evidence or mission readiness may be delayed.</t>
  </si>
  <si>
    <t>If FTN-016 is not fully implemented, RMF evidence or mission readiness may be delayed.</t>
  </si>
  <si>
    <t>If FTN-017 is not fully implemented, RMF evidence or mission readiness may be delayed.</t>
  </si>
  <si>
    <t>If FTN-018 is not fully implemented, RMF evidence or mission readiness may be delayed.</t>
  </si>
  <si>
    <t>If FTN-019 is not fully implemented, RMF evidence or mission readiness may be delayed.</t>
  </si>
  <si>
    <t>If FTN-020 is not fully implemented, RMF evidence or mission readiness may be delayed.</t>
  </si>
  <si>
    <t>If FTN-021 is not fully implemented, RMF evidence or mission readiness may be delayed.</t>
  </si>
  <si>
    <t>If FTN-022 is not fully implemented, RMF evidence or mission readiness may be delayed.</t>
  </si>
  <si>
    <t>If FTN-023 is not fully implemented, RMF evidence or mission readiness may be delayed.</t>
  </si>
  <si>
    <t>If FTN-024 is not fully implemented, RMF evidence or mission readiness may be delayed.</t>
  </si>
  <si>
    <t>If FN-001 is not fully implemented, RMF evidence or mission readiness may be delayed.</t>
  </si>
  <si>
    <t>If FN-002 is not fully implemented, RMF evidence or mission readiness may be delayed.</t>
  </si>
  <si>
    <t>If FN-003 is not fully implemented, RMF evidence or mission readiness may be delayed.</t>
  </si>
  <si>
    <t>If FN-004 is not fully implemented, RMF evidence or mission readiness may be delayed.</t>
  </si>
  <si>
    <t>If FN-005 is not fully implemented, RMF evidence or mission readiness may be delayed.</t>
  </si>
  <si>
    <t>If FN-006 is not fully implemented, RMF evidence or mission readiness may be delayed.</t>
  </si>
  <si>
    <t>If FN-007 is not fully implemented, RMF evidence or mission readiness may be delayed.</t>
  </si>
  <si>
    <t>If FN-008 is not fully implemented, RMF evidence or mission readiness may be delayed.</t>
  </si>
  <si>
    <t>If FN-009 is not fully implemented, RMF evidence or mission readiness may be delayed.</t>
  </si>
  <si>
    <t>If FN-010 is not fully implemented, RMF evidence or mission readiness may be delayed.</t>
  </si>
  <si>
    <t>If FN-011 is not fully implemented, RMF evidence or mission readiness may be delayed.</t>
  </si>
  <si>
    <t>If FN-012 is not fully implemented, RMF evidence or mission readiness may be delayed.</t>
  </si>
  <si>
    <t>If FN-013 is not fully implemented, RMF evidence or mission readiness may be delayed.</t>
  </si>
  <si>
    <t>If FN-014 is not fully implemented, RMF evidence or mission readiness may be delayed.</t>
  </si>
  <si>
    <t>If FN-015 is not fully implemented, RMF evidence or mission readiness may be delayed.</t>
  </si>
  <si>
    <t>If FN-016 is not fully implemented, RMF evidence or mission readiness may be delayed.</t>
  </si>
  <si>
    <t>If FN-017 is not fully implemented, RMF evidence or mission readiness may be delayed.</t>
  </si>
  <si>
    <t>If FN-018 is not fully implemented, RMF evidence or mission readiness may be delayed.</t>
  </si>
  <si>
    <t>If FN-019 is not fully implemented, RMF evidence or mission readiness may be delayed.</t>
  </si>
  <si>
    <t>If FN-020 is not fully implemented, RMF evidence or mission readiness may be delayed.</t>
  </si>
  <si>
    <t>If FN-021 is not fully implemented, RMF evidence or mission readiness may be delayed.</t>
  </si>
  <si>
    <t>If FN-022 is not fully implemented, RMF evidence or mission readiness may be delayed.</t>
  </si>
  <si>
    <t>If DEE-001 is not fully implemented, RMF evidence or mission readiness may be delayed.</t>
  </si>
  <si>
    <t>If DEE-002 is not fully implemented, RMF evidence or mission readiness may be delayed.</t>
  </si>
  <si>
    <t>If DEE-003 is not fully implemented, RMF evidence or mission readiness may be delayed.</t>
  </si>
  <si>
    <t>If DEE-004 is not fully implemented, RMF evidence or mission readiness may be delayed.</t>
  </si>
  <si>
    <t>If DEE-005 is not fully implemented, RMF evidence or mission readiness may be delayed.</t>
  </si>
  <si>
    <t>If DEE-006 is not fully implemented, RMF evidence or mission readiness may be delayed.</t>
  </si>
  <si>
    <t>If DEE-007 is not fully implemented, RMF evidence or mission readiness may be delayed.</t>
  </si>
  <si>
    <t>If DEE-008 is not fully implemented, RMF evidence or mission readiness may be delayed.</t>
  </si>
  <si>
    <t>If DEE-009 is not fully implemented, RMF evidence or mission readiness may be delayed.</t>
  </si>
  <si>
    <t>If DEE-010 is not fully implemented, RMF evidence or mission readiness may be delayed.</t>
  </si>
  <si>
    <t>If DEE-011 is not fully implemented, RMF evidence or mission readiness may be delayed.</t>
  </si>
  <si>
    <t>If DEE-012 is not fully implemented, RMF evidence or mission readiness may be delayed.</t>
  </si>
  <si>
    <t>If DEE-013 is not fully implemented, RMF evidence or mission readiness may be delayed.</t>
  </si>
  <si>
    <t>If DEE-014 is not fully implemented, RMF evidence or mission readiness may be delayed.</t>
  </si>
  <si>
    <t>If DEE-015 is not fully implemented, RMF evidence or mission readiness may be delayed.</t>
  </si>
  <si>
    <t>If DEE-016 is not fully implemented, RMF evidence or mission readiness may be delayed.</t>
  </si>
  <si>
    <t>If DEE-017 is not fully implemented, RMF evidence or mission readiness may be delayed.</t>
  </si>
  <si>
    <t>If DEE-018 is not fully implemented, RMF evidence or mission readiness may be delayed.</t>
  </si>
  <si>
    <t>If DEE-019 is not fully implemented, RMF evidence or mission readiness may be delayed.</t>
  </si>
  <si>
    <t>If DEE-020 is not fully implemented, RMF evidence or mission readiness may be delayed.</t>
  </si>
  <si>
    <t>If DEE-021 is not fully implemented, RMF evidence or mission readiness may be delayed.</t>
  </si>
  <si>
    <t>If DEE-022 is not fully implemented, RMF evidence or mission readiness may be delayed.</t>
  </si>
  <si>
    <t>If DEE-023 is not fully implemented, RMF evidence or mission readiness may be delayed.</t>
  </si>
  <si>
    <t>If DATA-001 is not fully implemented, RMF evidence or mission readiness may be delayed.</t>
  </si>
  <si>
    <t>If DATA-002 is not fully implemented, RMF evidence or mission readiness may be delayed.</t>
  </si>
  <si>
    <t>If DATA-003 is not fully implemented, RMF evidence or mission readiness may be delayed.</t>
  </si>
  <si>
    <t>If DATA-004 is not fully implemented, RMF evidence or mission readiness may be delayed.</t>
  </si>
  <si>
    <t>If DATA-005 is not fully implemented, RMF evidence or mission readiness may be delayed.</t>
  </si>
  <si>
    <t>If DATA-006 is not fully implemented, RMF evidence or mission readiness may be delayed.</t>
  </si>
  <si>
    <t>If DATA-007 is not fully implemented, RMF evidence or mission readiness may be delayed.</t>
  </si>
  <si>
    <t>If DATA-008 is not fully implemented, RMF evidence or mission readiness may be delayed.</t>
  </si>
  <si>
    <t>If DATA-009 is not fully implemented, RMF evidence or mission readiness may be delayed.</t>
  </si>
  <si>
    <t>If DATA-010 is not fully implemented, RMF evidence or mission readiness may be delayed.</t>
  </si>
  <si>
    <t>If DATA-011 is not fully implemented, RMF evidence or mission readiness may be delayed.</t>
  </si>
  <si>
    <t>If DATA-012 is not fully implemented, RMF evidence or mission readiness may be delayed.</t>
  </si>
  <si>
    <t>If DATA-013 is not fully implemented, RMF evidence or mission readiness may be delayed.</t>
  </si>
  <si>
    <t>If DATA-014 is not fully implemented, RMF evidence or mission readiness may be delayed.</t>
  </si>
  <si>
    <t>If DATA-015 is not fully implemented, RMF evidence or mission readiness may be delayed.</t>
  </si>
  <si>
    <t>If DATA-016 is not fully implemented, RMF evidence or mission readiness may be delayed.</t>
  </si>
  <si>
    <t>If DATA-017 is not fully implemented, RMF evidence or mission readiness may be delayed.</t>
  </si>
  <si>
    <t>If DATA-018 is not fully implemented, RMF evidence or mission readiness may be delayed.</t>
  </si>
  <si>
    <t>If DATA-019 is not fully implemented, RMF evidence or mission readiness may be delayed.</t>
  </si>
  <si>
    <t>If DATA-020 is not fully implemented, RMF evidence or mission readiness may be delayed.</t>
  </si>
  <si>
    <t>If DATA-021 is not fully implemented, RMF evidence or mission readiness may be delayed.</t>
  </si>
  <si>
    <t>If DATA-022 is not fully implemented, RMF evidence or mission readiness may be delayed.</t>
  </si>
  <si>
    <t>If CY-001 is not fully implemented, RMF evidence or mission readiness may be delayed.</t>
  </si>
  <si>
    <t>If CY-002 is not fully implemented, RMF evidence or mission readiness may be delayed.</t>
  </si>
  <si>
    <t>If CY-003 is not fully implemented, RMF evidence or mission readiness may be delayed.</t>
  </si>
  <si>
    <t>If CY-004 is not fully implemented, RMF evidence or mission readiness may be delayed.</t>
  </si>
  <si>
    <t>If CY-005 is not fully implemented, RMF evidence or mission readiness may be delayed.</t>
  </si>
  <si>
    <t>If CY-006 is not fully implemented, RMF evidence or mission readiness may be delayed.</t>
  </si>
  <si>
    <t>If CY-007 is not fully implemented, RMF evidence or mission readiness may be delayed.</t>
  </si>
  <si>
    <t>If CY-008 is not fully implemented, RMF evidence or mission readiness may be delayed.</t>
  </si>
  <si>
    <t>If CY-009 is not fully implemented, RMF evidence or mission readiness may be delayed.</t>
  </si>
  <si>
    <t>If CY-010 is not fully implemented, RMF evidence or mission readiness may be delayed.</t>
  </si>
  <si>
    <t>If CY-011 is not fully implemented, RMF evidence or mission readiness may be delayed.</t>
  </si>
  <si>
    <t>If CY-012 is not fully implemented, RMF evidence or mission readiness may be delayed.</t>
  </si>
  <si>
    <t>If CY-013 is not fully implemented, RMF evidence or mission readiness may be delayed.</t>
  </si>
  <si>
    <t>If CY-014 is not fully implemented, RMF evidence or mission readiness may be delayed.</t>
  </si>
  <si>
    <t>If CY-015 is not fully implemented, RMF evidence or mission readiness may be delayed.</t>
  </si>
  <si>
    <t>If CY-016 is not fully implemented, RMF evidence or mission readiness may be delayed.</t>
  </si>
  <si>
    <t>If CY-017 is not fully implemented, RMF evidence or mission readiness may be delayed.</t>
  </si>
  <si>
    <t>If CY-018 is not fully implemented, RMF evidence or mission readiness may be delayed.</t>
  </si>
  <si>
    <t>If CY-019 is not fully implemented, RMF evidence or mission readiness may be delayed.</t>
  </si>
  <si>
    <t>If CY-020 is not fully implemented, RMF evidence or mission readiness may be delayed.</t>
  </si>
  <si>
    <t>If CY-021 is not fully implemented, RMF evidence or mission readiness may be delayed.</t>
  </si>
  <si>
    <t>If CY-022 is not fully implemented, RMF evidence or mission readiness may be delayed.</t>
  </si>
  <si>
    <t>If CY-023 is not fully implemented, RMF evidence or mission readiness may be delayed.</t>
  </si>
  <si>
    <t>If CY-024 is not fully implemented, RMF evidence or mission readiness may be delayed.</t>
  </si>
  <si>
    <t>If CY-025 is not fully implemented, RMF evidence or mission readiness may be delayed.</t>
  </si>
  <si>
    <t>If CY-026 is not fully implemented, RMF evidence or mission readiness may be delayed.</t>
  </si>
  <si>
    <t>If CY-027 is not fully implemented, RMF evidence or mission readiness may be delayed.</t>
  </si>
  <si>
    <t>If CY-028 is not fully implemented, RMF evidence or mission readiness may be delayed.</t>
  </si>
  <si>
    <t>If CY-029 is not fully implemented, RMF evidence or mission readiness may be delayed.</t>
  </si>
  <si>
    <t>If CY-030 is not fully implemented, RMF evidence or mission readiness may be delayed.</t>
  </si>
  <si>
    <t>If INT-001 is not fully implemented, RMF evidence or mission readiness may be delayed.</t>
  </si>
  <si>
    <t>If INT-002 is not fully implemented, RMF evidence or mission readiness may be delayed.</t>
  </si>
  <si>
    <t>If INT-003 is not fully implemented, RMF evidence or mission readiness may be delayed.</t>
  </si>
  <si>
    <t>If INT-004 is not fully implemented, RMF evidence or mission readiness may be delayed.</t>
  </si>
  <si>
    <t>If INT-005 is not fully implemented, RMF evidence or mission readiness may be delayed.</t>
  </si>
  <si>
    <t>If INT-006 is not fully implemented, RMF evidence or mission readiness may be delayed.</t>
  </si>
  <si>
    <t>If INT-007 is not fully implemented, RMF evidence or mission readiness may be delayed.</t>
  </si>
  <si>
    <t>If INT-008 is not fully implemented, RMF evidence or mission readiness may be delayed.</t>
  </si>
  <si>
    <t>If INT-009 is not fully implemented, RMF evidence or mission readiness may be delayed.</t>
  </si>
  <si>
    <t>If INT-010 is not fully implemented, RMF evidence or mission readiness may be delayed.</t>
  </si>
  <si>
    <t>If INT-011 is not fully implemented, RMF evidence or mission readiness may be delayed.</t>
  </si>
  <si>
    <t>If INT-012 is not fully implemented, RMF evidence or mission readiness may be delayed.</t>
  </si>
  <si>
    <t>If INT-013 is not fully implemented, RMF evidence or mission readiness may be delayed.</t>
  </si>
  <si>
    <t>If INT-014 is not fully implemented, RMF evidence or mission readiness may be delayed.</t>
  </si>
  <si>
    <t>If INT-015 is not fully implemented, RMF evidence or mission readiness may be delayed.</t>
  </si>
  <si>
    <t>If INT-016 is not fully implemented, RMF evidence or mission readiness may be delayed.</t>
  </si>
  <si>
    <t>If INT-017 is not fully implemented, RMF evidence or mission readiness may be delayed.</t>
  </si>
  <si>
    <t>If INT-018 is not fully implemented, RMF evidence or mission readiness may be delayed.</t>
  </si>
  <si>
    <t>If INT-019 is not fully implemented, RMF evidence or mission readiness may be delayed.</t>
  </si>
  <si>
    <t>If INT-020 is not fully implemented, RMF evidence or mission readiness may be delayed.</t>
  </si>
  <si>
    <t>If OPS-001 is not fully implemented, RMF evidence or mission readiness may be delayed.</t>
  </si>
  <si>
    <t>If OPS-002 is not fully implemented, RMF evidence or mission readiness may be delayed.</t>
  </si>
  <si>
    <t>If OPS-003 is not fully implemented, RMF evidence or mission readiness may be delayed.</t>
  </si>
  <si>
    <t>If OPS-004 is not fully implemented, RMF evidence or mission readiness may be delayed.</t>
  </si>
  <si>
    <t>If OPS-005 is not fully implemented, RMF evidence or mission readiness may be delayed.</t>
  </si>
  <si>
    <t>If OPS-006 is not fully implemented, RMF evidence or mission readiness may be delayed.</t>
  </si>
  <si>
    <t>If OPS-007 is not fully implemented, RMF evidence or mission readiness may be delayed.</t>
  </si>
  <si>
    <t>If OPS-008 is not fully implemented, RMF evidence or mission readiness may be delayed.</t>
  </si>
  <si>
    <t>If OPS-009 is not fully implemented, RMF evidence or mission readiness may be delayed.</t>
  </si>
  <si>
    <t>If OPS-010 is not fully implemented, RMF evidence or mission readiness may be delayed.</t>
  </si>
  <si>
    <t>If OPS-011 is not fully implemented, RMF evidence or mission readiness may be delayed.</t>
  </si>
  <si>
    <t>If OPS-012 is not fully implemented, RMF evidence or mission readiness may be delayed.</t>
  </si>
  <si>
    <t>If OPS-013 is not fully implemented, RMF evidence or mission readiness may be delayed.</t>
  </si>
  <si>
    <t>If OPS-014 is not fully implemented, RMF evidence or mission readiness may be delayed.</t>
  </si>
  <si>
    <t>If OPS-015 is not fully implemented, RMF evidence or mission readiness may be delayed.</t>
  </si>
  <si>
    <t>If OPS-016 is not fully implemented, RMF evidence or mission readiness may be delayed.</t>
  </si>
  <si>
    <t>If OPS-017 is not fully implemented, RMF evidence or mission readiness may be delayed.</t>
  </si>
  <si>
    <t>If OPS-018 is not fully implemented, RMF evidence or mission readiness may be delayed.</t>
  </si>
  <si>
    <t>If SW-001 is not fully implemented, RMF evidence or mission readiness may be delayed.</t>
  </si>
  <si>
    <t>If SW-002 is not fully implemented, RMF evidence or mission readiness may be delayed.</t>
  </si>
  <si>
    <t>If SW-003 is not fully implemented, RMF evidence or mission readiness may be delayed.</t>
  </si>
  <si>
    <t>If SW-004 is not fully implemented, RMF evidence or mission readiness may be delayed.</t>
  </si>
  <si>
    <t>If SW-005 is not fully implemented, RMF evidence or mission readiness may be delayed.</t>
  </si>
  <si>
    <t>If SW-006 is not fully implemented, RMF evidence or mission readiness may be delayed.</t>
  </si>
  <si>
    <t>If SW-007 is not fully implemented, RMF evidence or mission readiness may be delayed.</t>
  </si>
  <si>
    <t>If SW-008 is not fully implemented, RMF evidence or mission readiness may be delayed.</t>
  </si>
  <si>
    <t>If SW-009 is not fully implemented, RMF evidence or mission readiness may be delayed.</t>
  </si>
  <si>
    <t>If SW-010 is not fully implemented, RMF evidence or mission readiness may be delayed.</t>
  </si>
  <si>
    <t>If SW-011 is not fully implemented, RMF evidence or mission readiness may be delayed.</t>
  </si>
  <si>
    <t>If SW-012 is not fully implemented, RMF evidence or mission readiness may be delayed.</t>
  </si>
  <si>
    <t>If SW-013 is not fully implemented, RMF evidence or mission readiness may be delayed.</t>
  </si>
  <si>
    <t>If SW-014 is not fully implemented, RMF evidence or mission readiness may be delayed.</t>
  </si>
  <si>
    <t>If SW-015 is not fully implemented, RMF evidence or mission readiness may be delayed.</t>
  </si>
  <si>
    <t>If SW-016 is not fully implemented, RMF evidence or mission readiness may be delayed.</t>
  </si>
  <si>
    <t>If SW-017 is not fully implemented, RMF evidence or mission readiness may be delayed.</t>
  </si>
  <si>
    <t>If SW-018 is not fully implemented, RMF evidence or mission readiness may be delayed.</t>
  </si>
  <si>
    <t>Offeror</t>
  </si>
  <si>
    <t>Technical Approach (30%)</t>
  </si>
  <si>
    <t>Cyber/RMF Approach (25%)</t>
  </si>
  <si>
    <t>IMS Realism (15%)</t>
  </si>
  <si>
    <t>Risk Management (15%)</t>
  </si>
  <si>
    <t>Cost Realism (15%)</t>
  </si>
  <si>
    <t>Weighted Score</t>
  </si>
  <si>
    <t>Risk Adjuster</t>
  </si>
  <si>
    <t>Final Score</t>
  </si>
  <si>
    <t>Notes</t>
  </si>
  <si>
    <t>Offeror A</t>
  </si>
  <si>
    <t>Offeror B</t>
  </si>
  <si>
    <t>Offeror C</t>
  </si>
  <si>
    <t>Offeror D</t>
  </si>
  <si>
    <t>Offeror E</t>
  </si>
  <si>
    <t>Scoring Scale</t>
  </si>
  <si>
    <t>5</t>
  </si>
  <si>
    <t>Excellent / low risk</t>
  </si>
  <si>
    <t>4</t>
  </si>
  <si>
    <t>Good / manageable risk</t>
  </si>
  <si>
    <t>3</t>
  </si>
  <si>
    <t>Acceptable / moderate risk</t>
  </si>
  <si>
    <t>2</t>
  </si>
  <si>
    <t>Marginal / high risk</t>
  </si>
  <si>
    <t>1</t>
  </si>
  <si>
    <t>Unacceptable / very high risk</t>
  </si>
  <si>
    <t>0</t>
  </si>
  <si>
    <t>No confidence / non-responsive</t>
  </si>
  <si>
    <t>RMF Process Flow</t>
  </si>
  <si>
    <t>Prepare → Categorize → Select → Implement → Assess → IATT → Remediate → Final Assess → ATO → Monitor</t>
  </si>
  <si>
    <t>Traceability Model</t>
  </si>
  <si>
    <t>SOO Objective → Requirement → NIST Control → Evidence Artifact → Assessment Finding → POA&amp;M → IMS Task → CDRL → AO Decision</t>
  </si>
  <si>
    <t>Authorization Gate View</t>
  </si>
  <si>
    <t>IATT: Controlled test authorization with known risk and limited scope</t>
  </si>
  <si>
    <t>ATO: Full operational authorization with residual risk accepted and continuous monitoring active</t>
  </si>
  <si>
    <t>System Evidence Flow</t>
  </si>
  <si>
    <t>Architecture / Boundary → Control Implementation → Scans &amp; Tests → SAR Findings → POA&amp;M → AO Package</t>
  </si>
  <si>
    <t>Artifact Status</t>
  </si>
  <si>
    <t>Finding Status</t>
  </si>
  <si>
    <t>Complete</t>
  </si>
  <si>
    <t>Closed</t>
  </si>
  <si>
    <t>Blocked</t>
  </si>
  <si>
    <t>Accepted</t>
  </si>
  <si>
    <t>Deferred</t>
  </si>
  <si>
    <t>Submitted</t>
  </si>
  <si>
    <t>Approved</t>
  </si>
  <si>
    <t>IATT Gate: boundary defined; initial System Security Plans (SSP), Security Assessment Plans (SAP), Security Assessment Reports (SAR); Information Sharing Architecture (ISA), and Interface Control Documents (ICD) drafts. These are foundational components to the Risk Management Framework (RMF) drafts, initial scans, POA&amp;M, and risk acceptance for test scope.</t>
  </si>
  <si>
    <t>Term</t>
  </si>
  <si>
    <t>Description</t>
  </si>
  <si>
    <t>Resource</t>
  </si>
  <si>
    <t xml:space="preserve">Broad Ocean Area (BOA) </t>
  </si>
  <si>
    <t>BOA will be receiving RV telemetry from a series of boats that will be utilizing SATCOM.</t>
  </si>
  <si>
    <t>VSFB Test Network Requirements</t>
  </si>
  <si>
    <t>Cyber Security Services (CSS)</t>
  </si>
  <si>
    <t>CSS will be in charge of all of the firewalls, taclanes, and providing the AAA services for the network. CSS will be incharge of sending the log files to the CDOC/CSOC</t>
  </si>
  <si>
    <t xml:space="preserve">Kevin information? </t>
  </si>
  <si>
    <t>Data Acquisition and Processing System (DAPS)</t>
  </si>
  <si>
    <t>DAPS will ingest, time‑stamp, and process telemetry, video, and sensor data from test assets, then forward the cleaned streams into the Test Support Network for real‑time monitoring and archival.</t>
  </si>
  <si>
    <t>Get in contact with Shannon Farrel</t>
  </si>
  <si>
    <t>In Silo Instrumentation (ISI)</t>
  </si>
  <si>
    <t>ISI will collect pressure, temperature, load, and propellant‑flow measurements from inside launch silos and push the data to the network for health monitoring and safety‑abort decision making.</t>
  </si>
  <si>
    <t>In SIlo Instrumentation CONOPS - Ryan DaVisio</t>
  </si>
  <si>
    <t>Launch Execution Network (LEN)</t>
  </si>
  <si>
    <t>The LEN is a network that will be built for flight test launch execution utilizing buildings 8510, 8339, and TP-01 at VSFB.</t>
  </si>
  <si>
    <t>Launch Support System (LSS)</t>
  </si>
  <si>
    <t>LSS will manage pre‑launch checklists, resource allocation, and inter‑system handshakes, publishing milestone events (e.g., “Fueling Complete”, “Countdown‑Start”) onto the network for downstream synchronization.</t>
  </si>
  <si>
    <t xml:space="preserve">POC contacted. </t>
  </si>
  <si>
    <t>Pad Launch Electronic Ground Support Equipment (PL EGSE)</t>
  </si>
  <si>
    <t>PL EGSE will simulate and verify vehicle avionics on the pad, streaming test results and pass/fail status into the network to be correlated with live telemetry</t>
  </si>
  <si>
    <t>(U)K03NN01352_FT-02_EGSE_Directive(CUI).pptx</t>
  </si>
  <si>
    <t>Regan Test Site (RTS)</t>
  </si>
  <si>
    <t>RTS will supply high‑rate radar, lidar, and optical tracking data for ground‑based tests, feeding position and attitude information into the network.</t>
  </si>
  <si>
    <t>Western Range Internet Protocol Network (WRIPN)</t>
  </si>
  <si>
    <t xml:space="preserve">WRIPN will serve as the </t>
  </si>
  <si>
    <t>Pacific Missile Range Facility (PMRF)</t>
  </si>
  <si>
    <t>PMRF will provide maritime‑range radar, telemetry stations, and video streams from Pacific‑theater tests, routing the data into the network for global situational awareness and post‑test analysis.</t>
  </si>
  <si>
    <t>Cyber Defense Operation Center (CDOC)</t>
  </si>
  <si>
    <t>The CDOC will review the log files of the systems that are connected to the LEN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</si>
</sst>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name val="Calibri"/>
      <family val="2"/>
      <scheme val="minor"/>
    </font>
    <font>
      <sz val="11"/>
      <name val="Calibri"/>
      <family val="2"/>
      <scheme val="minor"/>
    </font>
    <font>
      <b/>
      <sz val="10"/>
      <name val="Calibri"/>
      <family val="2"/>
      <scheme val="minor"/>
    </font>
    <font>
      <sz val="10"/>
      <name val="Calibri"/>
      <family val="2"/>
      <scheme val="minor"/>
    </font>
    <font>
      <b/>
      <sz val="12"/>
      <name val="Calibri"/>
      <family val="2"/>
      <scheme val="minor"/>
    </font>
    <font>
      <sz val="12"/>
      <name val="Calibri"/>
      <family val="2"/>
      <scheme val="minor"/>
    </font>
  </fonts>
  <fills count="5">
    <fill>
      <patternFill patternType="none"/>
    </fill>
    <fill>
      <patternFill patternType="gray125"/>
    </fill>
    <fill>
      <patternFill patternType="solid">
        <fgColor theme="3" tint="0.749992370372631"/>
        <bgColor indexed="64"/>
      </patternFill>
    </fill>
    <fill>
      <patternFill patternType="solid">
        <fgColor rgb="FFFFFFCC"/>
        <bgColor indexed="64"/>
      </patternFill>
    </fill>
    <fill>
      <patternFill patternType="solid">
        <fgColor theme="6"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auto="1"/>
      </bottom>
      <diagonal/>
    </border>
    <border>
      <left style="thin">
        <color auto="1"/>
      </left>
      <right/>
      <top/>
      <bottom style="thin">
        <color auto="1"/>
      </bottom>
      <diagonal/>
    </border>
    <border>
      <left style="thin">
        <color rgb="FF000000"/>
      </left>
      <right style="thin">
        <color rgb="FF000000"/>
      </right>
      <top/>
      <bottom style="thin">
        <color rgb="FF000000"/>
      </bottom>
      <diagonal/>
    </border>
  </borders>
  <cellStyleXfs count="1">
    <xf numFmtId="0" fontId="0" fillId="0" borderId="0"/>
  </cellStyleXfs>
  <cellXfs count="44">
    <xf numFmtId="0" fontId="0" fillId="0" borderId="0" xfId="0"/>
    <xf numFmtId="0" fontId="1" fillId="0" borderId="0" xfId="0" applyFont="1" applyAlignment="1">
      <alignment vertical="top" wrapText="1"/>
    </xf>
    <xf numFmtId="0" fontId="2" fillId="0" borderId="0" xfId="0" applyFont="1"/>
    <xf numFmtId="0" fontId="3" fillId="0" borderId="0" xfId="0" applyFont="1" applyAlignment="1">
      <alignment vertical="top" wrapText="1"/>
    </xf>
    <xf numFmtId="0" fontId="4" fillId="0" borderId="0" xfId="0" applyFont="1"/>
    <xf numFmtId="14" fontId="4" fillId="0" borderId="0" xfId="0" applyNumberFormat="1" applyFont="1"/>
    <xf numFmtId="0" fontId="5" fillId="0" borderId="0" xfId="0" applyFont="1" applyAlignment="1">
      <alignment vertical="top" wrapText="1"/>
    </xf>
    <xf numFmtId="0" fontId="6" fillId="0" borderId="0" xfId="0" applyFont="1"/>
    <xf numFmtId="0" fontId="5" fillId="0" borderId="0" xfId="0" applyFont="1" applyAlignment="1">
      <alignment horizontal="center" vertical="center" wrapText="1"/>
    </xf>
    <xf numFmtId="0" fontId="6" fillId="0" borderId="0" xfId="0" applyFont="1" applyAlignment="1">
      <alignment horizontal="center" vertical="center"/>
    </xf>
    <xf numFmtId="0" fontId="5" fillId="2" borderId="0" xfId="0" applyFont="1" applyFill="1" applyAlignment="1">
      <alignment horizontal="center" vertical="center" wrapText="1"/>
    </xf>
    <xf numFmtId="14" fontId="5"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5" fillId="2" borderId="0" xfId="0" applyFont="1" applyFill="1" applyAlignment="1">
      <alignment vertical="top" wrapText="1"/>
    </xf>
    <xf numFmtId="14" fontId="4" fillId="0" borderId="0" xfId="0" applyNumberFormat="1" applyFont="1" applyAlignment="1">
      <alignment horizontal="center" vertical="center"/>
    </xf>
    <xf numFmtId="0" fontId="4" fillId="0" borderId="0" xfId="0" applyFont="1" applyAlignment="1">
      <alignment horizontal="center" vertical="center"/>
    </xf>
    <xf numFmtId="0" fontId="2" fillId="2" borderId="0" xfId="0" applyFont="1" applyFill="1"/>
    <xf numFmtId="0" fontId="5" fillId="2" borderId="0" xfId="0" applyFont="1" applyFill="1"/>
    <xf numFmtId="0" fontId="3" fillId="2" borderId="0" xfId="0" applyFont="1" applyFill="1" applyAlignment="1">
      <alignment vertical="top" wrapText="1"/>
    </xf>
    <xf numFmtId="0" fontId="5" fillId="2" borderId="0" xfId="0" applyFont="1" applyFill="1" applyAlignment="1">
      <alignment horizontal="left" vertical="center" wrapText="1"/>
    </xf>
    <xf numFmtId="0" fontId="6" fillId="0" borderId="0" xfId="0" applyFont="1" applyAlignment="1">
      <alignment wrapText="1"/>
    </xf>
    <xf numFmtId="0" fontId="5" fillId="2" borderId="0" xfId="0" applyFont="1" applyFill="1" applyAlignment="1">
      <alignmen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3" borderId="0" xfId="0" applyFont="1" applyFill="1"/>
    <xf numFmtId="0" fontId="4" fillId="4" borderId="0" xfId="0" applyFont="1" applyFill="1"/>
    <xf numFmtId="0" fontId="4" fillId="0" borderId="1" xfId="0" applyFont="1" applyBorder="1"/>
    <xf numFmtId="0" fontId="4" fillId="0" borderId="1" xfId="0" applyFont="1" applyBorder="1" applyAlignment="1">
      <alignment wrapText="1"/>
    </xf>
    <xf numFmtId="0" fontId="4" fillId="0" borderId="2" xfId="0" applyFont="1" applyBorder="1" applyAlignment="1">
      <alignment wrapText="1"/>
    </xf>
    <xf numFmtId="0" fontId="4" fillId="0" borderId="3" xfId="0" applyFont="1" applyBorder="1"/>
    <xf numFmtId="0" fontId="4" fillId="0" borderId="4" xfId="0" applyFont="1" applyBorder="1" applyAlignment="1">
      <alignment wrapText="1"/>
    </xf>
    <xf numFmtId="0" fontId="4" fillId="0" borderId="5" xfId="0" applyFont="1" applyBorder="1"/>
    <xf numFmtId="0" fontId="4" fillId="0" borderId="0" xfId="0" applyFont="1" applyAlignment="1">
      <alignment wrapText="1"/>
    </xf>
    <xf numFmtId="0" fontId="4" fillId="0" borderId="2" xfId="0" applyFont="1" applyBorder="1"/>
    <xf numFmtId="0" fontId="4" fillId="0" borderId="4" xfId="0" applyFont="1" applyBorder="1"/>
    <xf numFmtId="0" fontId="4" fillId="0" borderId="6" xfId="0" applyFont="1" applyBorder="1" applyAlignment="1">
      <alignment wrapText="1"/>
    </xf>
    <xf numFmtId="0" fontId="4" fillId="0" borderId="7" xfId="0" applyFont="1" applyBorder="1"/>
    <xf numFmtId="0" fontId="4" fillId="0" borderId="8" xfId="0" applyFont="1" applyBorder="1"/>
    <xf numFmtId="0" fontId="4" fillId="0" borderId="9" xfId="0" applyFont="1" applyBorder="1" applyAlignment="1">
      <alignment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cellXfs>
  <cellStyles count="1">
    <cellStyle name="Normal" xfId="0" builtinId="0"/>
  </cellStyles>
  <dxfs count="7">
    <dxf>
      <font>
        <b/>
        <i val="0"/>
        <color rgb="FFFFFF00"/>
      </font>
      <fill>
        <patternFill>
          <bgColor rgb="FFFF0000"/>
        </patternFill>
      </fill>
      <border>
        <left style="thin">
          <color rgb="FFFF0000"/>
        </left>
        <right style="thin">
          <color rgb="FFFF0000"/>
        </right>
        <top style="thin">
          <color rgb="FFFF0000"/>
        </top>
        <bottom style="thin">
          <color rgb="FFFF0000"/>
        </bottom>
      </border>
    </dxf>
    <dxf>
      <font>
        <color theme="1"/>
      </font>
      <fill>
        <patternFill>
          <bgColor rgb="FFFFFFCC"/>
        </patternFill>
      </fill>
      <border>
        <left style="thin">
          <color rgb="FFFFFF00"/>
        </left>
        <right style="thin">
          <color rgb="FFFFFF00"/>
        </right>
        <top style="thin">
          <color rgb="FFFFFF00"/>
        </top>
        <bottom style="thin">
          <color rgb="FFFFFF00"/>
        </bottom>
      </border>
    </dxf>
    <dxf>
      <font>
        <color theme="1"/>
      </font>
      <fill>
        <patternFill>
          <bgColor theme="5" tint="0.79998168889431442"/>
        </patternFill>
      </fill>
      <border>
        <left style="thin">
          <color rgb="FFFF0000"/>
        </left>
        <right style="thin">
          <color rgb="FFFF0000"/>
        </right>
        <top style="thin">
          <color rgb="FFFF0000"/>
        </top>
        <bottom style="thin">
          <color rgb="FFFF0000"/>
        </bottom>
      </border>
    </dxf>
    <dxf>
      <font>
        <b/>
        <i val="0"/>
        <color rgb="FFFFFF00"/>
      </font>
      <fill>
        <patternFill>
          <bgColor rgb="FFFF0000"/>
        </patternFill>
      </fill>
      <border>
        <left style="thin">
          <color rgb="FFFF0000"/>
        </left>
        <right style="thin">
          <color rgb="FFFF0000"/>
        </right>
        <top style="thin">
          <color rgb="FFFF0000"/>
        </top>
        <bottom style="thin">
          <color rgb="FFFF0000"/>
        </bottom>
      </border>
    </dxf>
    <dxf>
      <font>
        <color theme="1"/>
      </font>
      <fill>
        <patternFill>
          <bgColor rgb="FFFFFFCC"/>
        </patternFill>
      </fill>
      <border>
        <left style="thin">
          <color rgb="FFFFFF00"/>
        </left>
        <right style="thin">
          <color rgb="FFFFFF00"/>
        </right>
        <top style="thin">
          <color rgb="FFFFFF00"/>
        </top>
        <bottom style="thin">
          <color rgb="FFFFFF00"/>
        </bottom>
      </border>
    </dxf>
    <dxf>
      <font>
        <color theme="1"/>
      </font>
      <fill>
        <patternFill>
          <bgColor theme="5" tint="0.79998168889431442"/>
        </patternFill>
      </fill>
      <border>
        <left style="thin">
          <color rgb="FFFF0000"/>
        </left>
        <right style="thin">
          <color rgb="FFFF0000"/>
        </right>
        <top style="thin">
          <color rgb="FFFF0000"/>
        </top>
        <bottom style="thin">
          <color rgb="FFFF0000"/>
        </bottom>
      </border>
    </dxf>
    <dxf>
      <font>
        <color rgb="FF9C0006"/>
      </font>
      <fill>
        <patternFill>
          <bgColor rgb="FFFFC7CE"/>
        </patternFill>
      </fill>
    </dxf>
  </dxfs>
  <tableStyles count="0" defaultTableStyle="TableStyleMedium2" defaultPivotStyle="PivotStyleLight16"/>
  <colors>
    <mruColors>
      <color rgb="FFFFFFC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RMF Gate Blockers</a:t>
            </a:r>
          </a:p>
        </c:rich>
      </c:tx>
      <c:overlay val="0"/>
    </c:title>
    <c:autoTitleDeleted val="0"/>
    <c:plotArea>
      <c:layout/>
      <c:barChart>
        <c:barDir val="col"/>
        <c:grouping val="clustered"/>
        <c:varyColors val="0"/>
        <c:ser>
          <c:idx val="0"/>
          <c:order val="0"/>
          <c:tx>
            <c:v>Open</c:v>
          </c:tx>
          <c:invertIfNegative val="1"/>
          <c:cat>
            <c:strLit>
              <c:ptCount val="2"/>
              <c:pt idx="0">
                <c:v>IATT Blockers</c:v>
              </c:pt>
              <c:pt idx="1">
                <c:v>ATO Blockers</c:v>
              </c:pt>
            </c:strLit>
          </c:cat>
          <c:val>
            <c:numLit>
              <c:formatCode>General</c:formatCode>
              <c:ptCount val="2"/>
            </c:numLit>
          </c:val>
          <c:extLst>
            <c:ext xmlns:c16="http://schemas.microsoft.com/office/drawing/2014/chart" uri="{C3380CC4-5D6E-409C-BE32-E72D297353CC}">
              <c16:uniqueId val="{00000000-AE96-43E2-A997-CD68CA1F289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600075</xdr:colOff>
      <xdr:row>0</xdr:row>
      <xdr:rowOff>371475</xdr:rowOff>
    </xdr:from>
    <xdr:ext cx="4953000" cy="2667000"/>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
  <sheetViews>
    <sheetView workbookViewId="0">
      <selection activeCell="F19" sqref="F19"/>
    </sheetView>
  </sheetViews>
  <sheetFormatPr defaultRowHeight="12.75"/>
  <cols>
    <col min="1" max="1" width="27.125" style="4" customWidth="1"/>
    <col min="2" max="2" width="12.25" style="4" customWidth="1"/>
    <col min="3" max="3" width="7.875" style="4" customWidth="1"/>
    <col min="4" max="4" width="10.125" style="4" customWidth="1"/>
    <col min="5" max="5" width="10.625" style="4" customWidth="1"/>
    <col min="6" max="6" width="20.625" style="4" customWidth="1"/>
    <col min="7" max="8" width="24" style="4" customWidth="1"/>
    <col min="9" max="16384" width="9" style="4"/>
  </cols>
  <sheetData>
    <row r="1" spans="1:26" ht="31.5">
      <c r="A1" s="15" t="s">
        <v>0</v>
      </c>
      <c r="B1" s="20"/>
      <c r="C1" s="20"/>
      <c r="D1" s="20"/>
      <c r="E1" s="20"/>
      <c r="F1" s="20"/>
      <c r="G1" s="3"/>
      <c r="H1" s="3"/>
      <c r="I1" s="3"/>
      <c r="J1" s="3"/>
      <c r="K1" s="3"/>
      <c r="L1" s="3"/>
      <c r="M1" s="3"/>
      <c r="N1" s="3"/>
      <c r="O1" s="3"/>
      <c r="P1" s="3"/>
      <c r="Q1" s="3"/>
      <c r="R1" s="3"/>
      <c r="S1" s="3"/>
      <c r="T1" s="3"/>
      <c r="U1" s="3"/>
      <c r="V1" s="3"/>
      <c r="W1" s="3"/>
      <c r="X1" s="3"/>
      <c r="Y1" s="3"/>
      <c r="Z1" s="3"/>
    </row>
    <row r="3" spans="1:26" ht="15">
      <c r="A3" s="4" t="s">
        <v>1</v>
      </c>
      <c r="B3" s="4">
        <f>COUNTA(Requirements!A2:A178)</f>
        <v>177</v>
      </c>
      <c r="D3" s="18" t="s">
        <v>2</v>
      </c>
      <c r="E3" s="18" t="s">
        <v>3</v>
      </c>
      <c r="F3" s="18" t="s">
        <v>4</v>
      </c>
    </row>
    <row r="4" spans="1:26">
      <c r="A4" s="4" t="s">
        <v>5</v>
      </c>
      <c r="B4" s="4">
        <f>COUNTIF(Requirements!L2:L178,"Complete")</f>
        <v>0</v>
      </c>
      <c r="D4" s="4" t="s">
        <v>6</v>
      </c>
      <c r="E4" s="4" t="s">
        <v>7</v>
      </c>
      <c r="F4" s="4" t="s">
        <v>8</v>
      </c>
    </row>
    <row r="5" spans="1:26">
      <c r="A5" s="4" t="s">
        <v>9</v>
      </c>
      <c r="B5" s="4">
        <f>COUNTIF('Evidence Tracker'!J2:J178,"Complete")</f>
        <v>0</v>
      </c>
      <c r="D5" s="4" t="s">
        <v>10</v>
      </c>
      <c r="E5" s="4" t="s">
        <v>11</v>
      </c>
      <c r="F5" s="4" t="s">
        <v>12</v>
      </c>
    </row>
    <row r="6" spans="1:26">
      <c r="A6" s="4" t="s">
        <v>13</v>
      </c>
      <c r="B6" s="4">
        <f>COUNTIF('POAM Automation'!K2:K121,"Open")</f>
        <v>100</v>
      </c>
      <c r="D6" s="4" t="s">
        <v>14</v>
      </c>
      <c r="E6" s="4" t="s">
        <v>11</v>
      </c>
      <c r="F6" s="4" t="s">
        <v>15</v>
      </c>
    </row>
    <row r="7" spans="1:26">
      <c r="A7" s="4" t="s">
        <v>16</v>
      </c>
      <c r="B7" s="4">
        <f>COUNTIFS('POAM Automation'!K2:K121,"Open",'POAM Automation'!E2:E121,"Critical")+COUNTIFS('POAM Automation'!K2:K121,"Open",'POAM Automation'!E2:E121,"High")</f>
        <v>50</v>
      </c>
      <c r="D7" s="4" t="s">
        <v>17</v>
      </c>
      <c r="E7" s="4" t="s">
        <v>7</v>
      </c>
      <c r="F7" s="4" t="s">
        <v>18</v>
      </c>
    </row>
    <row r="8" spans="1:26">
      <c r="A8" s="4" t="s">
        <v>19</v>
      </c>
      <c r="B8" s="4">
        <f>COUNTIF('POAM Automation'!M2:M121,"Yes")</f>
        <v>30</v>
      </c>
      <c r="D8" s="4" t="s">
        <v>20</v>
      </c>
      <c r="E8" s="4" t="s">
        <v>11</v>
      </c>
      <c r="F8" s="4" t="s">
        <v>21</v>
      </c>
    </row>
    <row r="9" spans="1:26">
      <c r="A9" s="4" t="s">
        <v>22</v>
      </c>
      <c r="B9" s="4">
        <f>COUNTIF('POAM Automation'!N2:N121,"Yes")</f>
        <v>60</v>
      </c>
      <c r="D9" s="4" t="s">
        <v>23</v>
      </c>
      <c r="E9" s="4" t="s">
        <v>11</v>
      </c>
      <c r="F9" s="4" t="s">
        <v>24</v>
      </c>
    </row>
    <row r="10" spans="1:26">
      <c r="A10" s="4" t="s">
        <v>25</v>
      </c>
      <c r="B10" s="4" t="s">
        <v>26</v>
      </c>
      <c r="D10" s="4" t="s">
        <v>27</v>
      </c>
      <c r="E10" s="4" t="s">
        <v>11</v>
      </c>
      <c r="F10" s="4" t="s">
        <v>28</v>
      </c>
    </row>
    <row r="11" spans="1:26">
      <c r="A11" s="4" t="s">
        <v>29</v>
      </c>
      <c r="B11" s="4" t="s">
        <v>30</v>
      </c>
    </row>
    <row r="12" spans="1:26">
      <c r="A12" s="4" t="s">
        <v>31</v>
      </c>
      <c r="B12" s="4" t="str">
        <f>IF(B8=0,"Green",IF(B8&lt;=5,"Amber","Red"))</f>
        <v>Red</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
  <sheetViews>
    <sheetView tabSelected="1" workbookViewId="0">
      <selection activeCell="C27" sqref="C27"/>
    </sheetView>
  </sheetViews>
  <sheetFormatPr defaultRowHeight="15.75"/>
  <cols>
    <col min="1" max="1" width="117.875" style="22" customWidth="1"/>
    <col min="2" max="8" width="24" style="7" customWidth="1"/>
    <col min="9" max="16384" width="9" style="7"/>
  </cols>
  <sheetData>
    <row r="1" spans="1:26">
      <c r="A1" s="10" t="s">
        <v>32</v>
      </c>
      <c r="B1" s="6"/>
      <c r="C1" s="6"/>
      <c r="D1" s="6"/>
      <c r="E1" s="6"/>
      <c r="F1" s="6"/>
      <c r="G1" s="6"/>
      <c r="H1" s="6"/>
      <c r="I1" s="6"/>
      <c r="J1" s="6"/>
      <c r="K1" s="6"/>
      <c r="L1" s="6"/>
      <c r="M1" s="6"/>
      <c r="N1" s="6"/>
      <c r="O1" s="6"/>
      <c r="P1" s="6"/>
      <c r="Q1" s="6"/>
      <c r="R1" s="6"/>
      <c r="S1" s="6"/>
      <c r="T1" s="6"/>
      <c r="U1" s="6"/>
      <c r="V1" s="6"/>
      <c r="W1" s="6"/>
      <c r="X1" s="6"/>
      <c r="Y1" s="6"/>
      <c r="Z1" s="6"/>
    </row>
    <row r="3" spans="1:26">
      <c r="A3" s="23" t="s">
        <v>33</v>
      </c>
    </row>
    <row r="4" spans="1:26" ht="31.5">
      <c r="A4" s="22" t="s">
        <v>34</v>
      </c>
    </row>
    <row r="6" spans="1:26">
      <c r="A6" s="23" t="s">
        <v>35</v>
      </c>
    </row>
    <row r="7" spans="1:26" ht="47.25">
      <c r="A7" s="22" t="s">
        <v>36</v>
      </c>
    </row>
    <row r="9" spans="1:26">
      <c r="A9" s="23" t="s">
        <v>37</v>
      </c>
    </row>
    <row r="10" spans="1:26" ht="47.25">
      <c r="A10" s="22" t="s">
        <v>1996</v>
      </c>
    </row>
    <row r="11" spans="1:26" ht="31.5">
      <c r="A11" s="22" t="s">
        <v>38</v>
      </c>
    </row>
    <row r="13" spans="1:26">
      <c r="A13" s="23" t="s">
        <v>39</v>
      </c>
    </row>
    <row r="14" spans="1:26" ht="31.5">
      <c r="A14" s="22" t="s">
        <v>40</v>
      </c>
    </row>
    <row r="16" spans="1:26">
      <c r="A16" s="23" t="s">
        <v>41</v>
      </c>
    </row>
    <row r="17" spans="1:1" ht="31.5">
      <c r="A17" s="22"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
  <sheetViews>
    <sheetView workbookViewId="0">
      <selection activeCell="D47" sqref="D47"/>
    </sheetView>
  </sheetViews>
  <sheetFormatPr defaultRowHeight="12.75"/>
  <cols>
    <col min="1" max="1" width="12.625" style="4" customWidth="1"/>
    <col min="2" max="2" width="34.375" style="4" bestFit="1" customWidth="1"/>
    <col min="3" max="3" width="61.875" style="4" customWidth="1"/>
    <col min="4" max="4" width="30.25" style="4" customWidth="1"/>
    <col min="5" max="5" width="37.625" style="4" customWidth="1"/>
    <col min="6" max="6" width="34.125" style="4" customWidth="1"/>
    <col min="7" max="8" width="24" style="4" customWidth="1"/>
    <col min="9" max="16384" width="9" style="4"/>
  </cols>
  <sheetData>
    <row r="1" spans="1:26" s="9" customFormat="1" ht="15.75">
      <c r="A1" s="10" t="s">
        <v>2</v>
      </c>
      <c r="B1" s="10" t="s">
        <v>43</v>
      </c>
      <c r="C1" s="10" t="s">
        <v>44</v>
      </c>
      <c r="D1" s="10" t="s">
        <v>45</v>
      </c>
      <c r="E1" s="10" t="s">
        <v>46</v>
      </c>
      <c r="F1" s="10" t="s">
        <v>47</v>
      </c>
      <c r="G1" s="8"/>
      <c r="H1" s="8"/>
      <c r="I1" s="8"/>
      <c r="J1" s="8"/>
      <c r="K1" s="8"/>
      <c r="L1" s="8"/>
      <c r="M1" s="8"/>
      <c r="N1" s="8"/>
      <c r="O1" s="8"/>
      <c r="P1" s="8"/>
      <c r="Q1" s="8"/>
      <c r="R1" s="8"/>
      <c r="S1" s="8"/>
      <c r="T1" s="8"/>
      <c r="U1" s="8"/>
      <c r="V1" s="8"/>
      <c r="W1" s="8"/>
      <c r="X1" s="8"/>
      <c r="Y1" s="8"/>
      <c r="Z1" s="8"/>
    </row>
    <row r="2" spans="1:26" ht="30">
      <c r="A2" s="24" t="s">
        <v>6</v>
      </c>
      <c r="B2" s="24" t="s">
        <v>48</v>
      </c>
      <c r="C2" s="24" t="s">
        <v>49</v>
      </c>
      <c r="D2" s="24" t="s">
        <v>50</v>
      </c>
      <c r="E2" s="24" t="s">
        <v>51</v>
      </c>
      <c r="F2" s="24" t="s">
        <v>52</v>
      </c>
    </row>
    <row r="3" spans="1:26" ht="30">
      <c r="A3" s="24" t="s">
        <v>10</v>
      </c>
      <c r="B3" s="24" t="s">
        <v>53</v>
      </c>
      <c r="C3" s="24" t="s">
        <v>54</v>
      </c>
      <c r="D3" s="24" t="s">
        <v>55</v>
      </c>
      <c r="E3" s="24" t="s">
        <v>56</v>
      </c>
      <c r="F3" s="24" t="s">
        <v>57</v>
      </c>
    </row>
    <row r="4" spans="1:26" ht="15">
      <c r="A4" s="24" t="s">
        <v>14</v>
      </c>
      <c r="B4" s="24" t="s">
        <v>58</v>
      </c>
      <c r="C4" s="24" t="s">
        <v>59</v>
      </c>
      <c r="D4" s="24" t="s">
        <v>60</v>
      </c>
      <c r="E4" s="24" t="s">
        <v>61</v>
      </c>
      <c r="F4" s="24" t="s">
        <v>62</v>
      </c>
    </row>
    <row r="5" spans="1:26" ht="30">
      <c r="A5" s="24" t="s">
        <v>17</v>
      </c>
      <c r="B5" s="24" t="s">
        <v>63</v>
      </c>
      <c r="C5" s="24" t="s">
        <v>64</v>
      </c>
      <c r="D5" s="24" t="s">
        <v>65</v>
      </c>
      <c r="E5" s="24" t="s">
        <v>66</v>
      </c>
      <c r="F5" s="24" t="s">
        <v>67</v>
      </c>
    </row>
    <row r="6" spans="1:26" ht="15">
      <c r="A6" s="24" t="s">
        <v>20</v>
      </c>
      <c r="B6" s="24" t="s">
        <v>68</v>
      </c>
      <c r="C6" s="24" t="s">
        <v>69</v>
      </c>
      <c r="D6" s="24" t="s">
        <v>70</v>
      </c>
      <c r="E6" s="24" t="s">
        <v>71</v>
      </c>
      <c r="F6" s="24" t="s">
        <v>72</v>
      </c>
    </row>
    <row r="7" spans="1:26" ht="15">
      <c r="A7" s="24" t="s">
        <v>23</v>
      </c>
      <c r="B7" s="24" t="s">
        <v>73</v>
      </c>
      <c r="C7" s="24" t="s">
        <v>74</v>
      </c>
      <c r="D7" s="24" t="s">
        <v>75</v>
      </c>
      <c r="E7" s="24" t="s">
        <v>76</v>
      </c>
      <c r="F7" s="24" t="s">
        <v>77</v>
      </c>
    </row>
    <row r="8" spans="1:26" ht="15">
      <c r="A8" s="24" t="s">
        <v>27</v>
      </c>
      <c r="B8" s="24" t="s">
        <v>78</v>
      </c>
      <c r="C8" s="24" t="s">
        <v>79</v>
      </c>
      <c r="D8" s="24" t="s">
        <v>80</v>
      </c>
      <c r="E8" s="24" t="s">
        <v>81</v>
      </c>
      <c r="F8" s="24" t="s">
        <v>82</v>
      </c>
    </row>
    <row r="9" spans="1:26" ht="15">
      <c r="A9" s="24"/>
      <c r="B9" s="24"/>
      <c r="C9" s="24"/>
      <c r="D9" s="24"/>
      <c r="E9" s="24"/>
      <c r="F9"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Z178"/>
  <sheetViews>
    <sheetView workbookViewId="0">
      <selection activeCell="E190" sqref="E190"/>
    </sheetView>
  </sheetViews>
  <sheetFormatPr defaultColWidth="16.125" defaultRowHeight="12.75"/>
  <cols>
    <col min="1" max="1" width="11.625" style="17" customWidth="1"/>
    <col min="2" max="2" width="28.625" style="17" bestFit="1" customWidth="1"/>
    <col min="3" max="3" width="12.875" style="17" customWidth="1"/>
    <col min="4" max="4" width="123.875" style="25" customWidth="1"/>
    <col min="5" max="5" width="9.5" style="17" customWidth="1"/>
    <col min="6" max="6" width="17.625" style="17" customWidth="1"/>
    <col min="7" max="7" width="14.5" style="17" customWidth="1"/>
    <col min="8" max="8" width="71" style="25" customWidth="1"/>
    <col min="9" max="9" width="13.75" style="17" customWidth="1"/>
    <col min="10" max="10" width="10.875" style="17" customWidth="1"/>
    <col min="11" max="11" width="11.375" style="17" customWidth="1"/>
    <col min="12" max="12" width="12.25" style="17" customWidth="1"/>
    <col min="13" max="13" width="12.75" style="17" customWidth="1"/>
    <col min="14" max="14" width="12.625" style="17" bestFit="1" customWidth="1"/>
    <col min="15" max="15" width="11.25" style="17" bestFit="1" customWidth="1"/>
    <col min="16" max="16" width="15" style="17" bestFit="1" customWidth="1"/>
    <col min="17" max="16384" width="16.125" style="4"/>
  </cols>
  <sheetData>
    <row r="1" spans="1:26" s="9" customFormat="1" ht="31.5">
      <c r="A1" s="10" t="s">
        <v>83</v>
      </c>
      <c r="B1" s="10" t="s">
        <v>84</v>
      </c>
      <c r="C1" s="10" t="s">
        <v>2</v>
      </c>
      <c r="D1" s="10" t="s">
        <v>85</v>
      </c>
      <c r="E1" s="10" t="s">
        <v>86</v>
      </c>
      <c r="F1" s="10" t="s">
        <v>87</v>
      </c>
      <c r="G1" s="10" t="s">
        <v>88</v>
      </c>
      <c r="H1" s="10" t="s">
        <v>89</v>
      </c>
      <c r="I1" s="10" t="s">
        <v>90</v>
      </c>
      <c r="J1" s="10" t="s">
        <v>91</v>
      </c>
      <c r="K1" s="10" t="s">
        <v>92</v>
      </c>
      <c r="L1" s="10" t="s">
        <v>3</v>
      </c>
      <c r="M1" s="10" t="s">
        <v>93</v>
      </c>
      <c r="N1" s="10" t="s">
        <v>94</v>
      </c>
      <c r="O1" s="10" t="s">
        <v>95</v>
      </c>
      <c r="P1" s="10" t="s">
        <v>96</v>
      </c>
      <c r="Q1" s="8"/>
      <c r="R1" s="8"/>
      <c r="S1" s="8"/>
      <c r="T1" s="8"/>
      <c r="U1" s="8"/>
      <c r="V1" s="8"/>
      <c r="W1" s="8"/>
      <c r="X1" s="8"/>
      <c r="Y1" s="8"/>
      <c r="Z1" s="8"/>
    </row>
    <row r="2" spans="1:26" ht="38.25" hidden="1">
      <c r="A2" s="17" t="s">
        <v>97</v>
      </c>
      <c r="B2" s="17" t="s">
        <v>98</v>
      </c>
      <c r="C2" s="17" t="s">
        <v>17</v>
      </c>
      <c r="D2" s="25" t="s">
        <v>99</v>
      </c>
      <c r="E2" s="17" t="s">
        <v>100</v>
      </c>
      <c r="F2" s="17" t="s">
        <v>101</v>
      </c>
      <c r="G2" s="17" t="s">
        <v>102</v>
      </c>
      <c r="H2" s="25" t="s">
        <v>103</v>
      </c>
      <c r="I2" s="17" t="s">
        <v>104</v>
      </c>
      <c r="J2" s="17" t="s">
        <v>105</v>
      </c>
      <c r="K2" s="17" t="s">
        <v>105</v>
      </c>
      <c r="L2" s="17" t="s">
        <v>7</v>
      </c>
      <c r="M2" s="17" t="s">
        <v>106</v>
      </c>
      <c r="N2" s="17" t="s">
        <v>107</v>
      </c>
      <c r="O2" s="17" t="s">
        <v>108</v>
      </c>
      <c r="P2" s="17" t="str">
        <f t="shared" ref="P2:P33" si="0">IF(L2&lt;&gt;"Complete","Yes","No")</f>
        <v>Yes</v>
      </c>
    </row>
    <row r="3" spans="1:26" ht="25.5" hidden="1">
      <c r="A3" s="17" t="s">
        <v>109</v>
      </c>
      <c r="B3" s="17" t="s">
        <v>98</v>
      </c>
      <c r="C3" s="17" t="s">
        <v>17</v>
      </c>
      <c r="D3" s="25" t="s">
        <v>110</v>
      </c>
      <c r="E3" s="17" t="s">
        <v>100</v>
      </c>
      <c r="F3" s="17" t="s">
        <v>111</v>
      </c>
      <c r="G3" s="17" t="s">
        <v>112</v>
      </c>
      <c r="H3" s="25" t="s">
        <v>113</v>
      </c>
      <c r="I3" s="17" t="s">
        <v>114</v>
      </c>
      <c r="J3" s="17" t="s">
        <v>105</v>
      </c>
      <c r="K3" s="17" t="s">
        <v>105</v>
      </c>
      <c r="L3" s="17" t="s">
        <v>7</v>
      </c>
      <c r="M3" s="17" t="s">
        <v>115</v>
      </c>
      <c r="N3" s="17" t="s">
        <v>116</v>
      </c>
      <c r="O3" s="17" t="s">
        <v>117</v>
      </c>
      <c r="P3" s="17" t="str">
        <f t="shared" si="0"/>
        <v>Yes</v>
      </c>
    </row>
    <row r="4" spans="1:26" ht="25.5" hidden="1">
      <c r="A4" s="17" t="s">
        <v>118</v>
      </c>
      <c r="B4" s="17" t="s">
        <v>98</v>
      </c>
      <c r="C4" s="17" t="s">
        <v>17</v>
      </c>
      <c r="D4" s="25" t="s">
        <v>119</v>
      </c>
      <c r="E4" s="17" t="s">
        <v>120</v>
      </c>
      <c r="F4" s="17" t="s">
        <v>121</v>
      </c>
      <c r="G4" s="17" t="s">
        <v>122</v>
      </c>
      <c r="H4" s="25" t="s">
        <v>123</v>
      </c>
      <c r="I4" s="17" t="s">
        <v>124</v>
      </c>
      <c r="J4" s="17" t="s">
        <v>105</v>
      </c>
      <c r="K4" s="17" t="s">
        <v>105</v>
      </c>
      <c r="L4" s="17" t="s">
        <v>7</v>
      </c>
      <c r="M4" s="17" t="s">
        <v>125</v>
      </c>
      <c r="N4" s="17" t="s">
        <v>126</v>
      </c>
      <c r="O4" s="17" t="s">
        <v>127</v>
      </c>
      <c r="P4" s="17" t="str">
        <f t="shared" si="0"/>
        <v>Yes</v>
      </c>
    </row>
    <row r="5" spans="1:26" ht="25.5" hidden="1">
      <c r="A5" s="17" t="s">
        <v>128</v>
      </c>
      <c r="B5" s="17" t="s">
        <v>98</v>
      </c>
      <c r="C5" s="17" t="s">
        <v>17</v>
      </c>
      <c r="D5" s="25" t="s">
        <v>129</v>
      </c>
      <c r="E5" s="17" t="s">
        <v>100</v>
      </c>
      <c r="F5" s="17" t="s">
        <v>130</v>
      </c>
      <c r="G5" s="17" t="s">
        <v>131</v>
      </c>
      <c r="H5" s="25" t="s">
        <v>132</v>
      </c>
      <c r="I5" s="17" t="s">
        <v>133</v>
      </c>
      <c r="J5" s="17" t="s">
        <v>105</v>
      </c>
      <c r="K5" s="17" t="s">
        <v>105</v>
      </c>
      <c r="L5" s="17" t="s">
        <v>7</v>
      </c>
      <c r="M5" s="17" t="s">
        <v>134</v>
      </c>
      <c r="N5" s="17" t="s">
        <v>135</v>
      </c>
      <c r="O5" s="17" t="s">
        <v>136</v>
      </c>
      <c r="P5" s="17" t="str">
        <f t="shared" si="0"/>
        <v>Yes</v>
      </c>
    </row>
    <row r="6" spans="1:26" ht="25.5" hidden="1">
      <c r="A6" s="17" t="s">
        <v>137</v>
      </c>
      <c r="B6" s="17" t="s">
        <v>98</v>
      </c>
      <c r="C6" s="17" t="s">
        <v>17</v>
      </c>
      <c r="D6" s="25" t="s">
        <v>138</v>
      </c>
      <c r="E6" s="17" t="s">
        <v>100</v>
      </c>
      <c r="F6" s="17" t="s">
        <v>139</v>
      </c>
      <c r="G6" s="17" t="s">
        <v>102</v>
      </c>
      <c r="H6" s="25" t="s">
        <v>140</v>
      </c>
      <c r="I6" s="17" t="s">
        <v>141</v>
      </c>
      <c r="J6" s="17" t="s">
        <v>105</v>
      </c>
      <c r="K6" s="17" t="s">
        <v>105</v>
      </c>
      <c r="L6" s="17" t="s">
        <v>11</v>
      </c>
      <c r="M6" s="17" t="s">
        <v>142</v>
      </c>
      <c r="N6" s="17" t="s">
        <v>143</v>
      </c>
      <c r="O6" s="17" t="s">
        <v>144</v>
      </c>
      <c r="P6" s="17" t="str">
        <f t="shared" si="0"/>
        <v>Yes</v>
      </c>
    </row>
    <row r="7" spans="1:26" ht="25.5" hidden="1">
      <c r="A7" s="17" t="s">
        <v>145</v>
      </c>
      <c r="B7" s="17" t="s">
        <v>98</v>
      </c>
      <c r="C7" s="17" t="s">
        <v>17</v>
      </c>
      <c r="D7" s="25" t="s">
        <v>146</v>
      </c>
      <c r="E7" s="17" t="s">
        <v>120</v>
      </c>
      <c r="F7" s="17" t="s">
        <v>147</v>
      </c>
      <c r="G7" s="17" t="s">
        <v>112</v>
      </c>
      <c r="H7" s="25" t="s">
        <v>148</v>
      </c>
      <c r="I7" s="17" t="s">
        <v>149</v>
      </c>
      <c r="J7" s="17" t="s">
        <v>105</v>
      </c>
      <c r="K7" s="17" t="s">
        <v>105</v>
      </c>
      <c r="L7" s="17" t="s">
        <v>7</v>
      </c>
      <c r="M7" s="17" t="s">
        <v>150</v>
      </c>
      <c r="N7" s="17" t="s">
        <v>151</v>
      </c>
      <c r="O7" s="17" t="s">
        <v>152</v>
      </c>
      <c r="P7" s="17" t="str">
        <f t="shared" si="0"/>
        <v>Yes</v>
      </c>
    </row>
    <row r="8" spans="1:26" ht="38.25" hidden="1">
      <c r="A8" s="17" t="s">
        <v>153</v>
      </c>
      <c r="B8" s="17" t="s">
        <v>98</v>
      </c>
      <c r="C8" s="17" t="s">
        <v>17</v>
      </c>
      <c r="D8" s="25" t="s">
        <v>99</v>
      </c>
      <c r="E8" s="17" t="s">
        <v>100</v>
      </c>
      <c r="F8" s="17" t="s">
        <v>101</v>
      </c>
      <c r="G8" s="17" t="s">
        <v>122</v>
      </c>
      <c r="H8" s="25" t="s">
        <v>154</v>
      </c>
      <c r="I8" s="17" t="s">
        <v>155</v>
      </c>
      <c r="J8" s="17" t="s">
        <v>105</v>
      </c>
      <c r="K8" s="17" t="s">
        <v>105</v>
      </c>
      <c r="L8" s="17" t="s">
        <v>7</v>
      </c>
      <c r="M8" s="17" t="s">
        <v>156</v>
      </c>
      <c r="N8" s="17" t="s">
        <v>157</v>
      </c>
      <c r="O8" s="17" t="s">
        <v>158</v>
      </c>
      <c r="P8" s="17" t="str">
        <f t="shared" si="0"/>
        <v>Yes</v>
      </c>
    </row>
    <row r="9" spans="1:26" ht="25.5" hidden="1">
      <c r="A9" s="17" t="s">
        <v>159</v>
      </c>
      <c r="B9" s="17" t="s">
        <v>98</v>
      </c>
      <c r="C9" s="17" t="s">
        <v>17</v>
      </c>
      <c r="D9" s="25" t="s">
        <v>110</v>
      </c>
      <c r="E9" s="17" t="s">
        <v>100</v>
      </c>
      <c r="F9" s="17" t="s">
        <v>111</v>
      </c>
      <c r="G9" s="17" t="s">
        <v>131</v>
      </c>
      <c r="H9" s="25" t="s">
        <v>160</v>
      </c>
      <c r="I9" s="17" t="s">
        <v>161</v>
      </c>
      <c r="J9" s="17" t="s">
        <v>105</v>
      </c>
      <c r="K9" s="17" t="s">
        <v>105</v>
      </c>
      <c r="L9" s="17" t="s">
        <v>7</v>
      </c>
      <c r="M9" s="17" t="s">
        <v>162</v>
      </c>
      <c r="N9" s="17" t="s">
        <v>163</v>
      </c>
      <c r="O9" s="17" t="s">
        <v>164</v>
      </c>
      <c r="P9" s="17" t="str">
        <f t="shared" si="0"/>
        <v>Yes</v>
      </c>
    </row>
    <row r="10" spans="1:26" ht="25.5" hidden="1">
      <c r="A10" s="17" t="s">
        <v>165</v>
      </c>
      <c r="B10" s="17" t="s">
        <v>98</v>
      </c>
      <c r="C10" s="17" t="s">
        <v>17</v>
      </c>
      <c r="D10" s="25" t="s">
        <v>119</v>
      </c>
      <c r="E10" s="17" t="s">
        <v>120</v>
      </c>
      <c r="F10" s="17" t="s">
        <v>121</v>
      </c>
      <c r="G10" s="17" t="s">
        <v>102</v>
      </c>
      <c r="H10" s="25" t="s">
        <v>166</v>
      </c>
      <c r="I10" s="17" t="s">
        <v>167</v>
      </c>
      <c r="J10" s="17" t="s">
        <v>105</v>
      </c>
      <c r="K10" s="17" t="s">
        <v>105</v>
      </c>
      <c r="L10" s="17" t="s">
        <v>7</v>
      </c>
      <c r="M10" s="17" t="s">
        <v>168</v>
      </c>
      <c r="N10" s="17" t="s">
        <v>169</v>
      </c>
      <c r="O10" s="17" t="s">
        <v>170</v>
      </c>
      <c r="P10" s="17" t="str">
        <f t="shared" si="0"/>
        <v>Yes</v>
      </c>
    </row>
    <row r="11" spans="1:26" ht="25.5" hidden="1">
      <c r="A11" s="17" t="s">
        <v>171</v>
      </c>
      <c r="B11" s="17" t="s">
        <v>98</v>
      </c>
      <c r="C11" s="17" t="s">
        <v>17</v>
      </c>
      <c r="D11" s="25" t="s">
        <v>129</v>
      </c>
      <c r="E11" s="17" t="s">
        <v>100</v>
      </c>
      <c r="F11" s="17" t="s">
        <v>130</v>
      </c>
      <c r="G11" s="17" t="s">
        <v>112</v>
      </c>
      <c r="H11" s="25" t="s">
        <v>172</v>
      </c>
      <c r="I11" s="17" t="s">
        <v>173</v>
      </c>
      <c r="J11" s="17" t="s">
        <v>105</v>
      </c>
      <c r="K11" s="17" t="s">
        <v>105</v>
      </c>
      <c r="L11" s="17" t="s">
        <v>11</v>
      </c>
      <c r="M11" s="17" t="s">
        <v>174</v>
      </c>
      <c r="N11" s="17" t="s">
        <v>175</v>
      </c>
      <c r="O11" s="17" t="s">
        <v>176</v>
      </c>
      <c r="P11" s="17" t="str">
        <f t="shared" si="0"/>
        <v>Yes</v>
      </c>
    </row>
    <row r="12" spans="1:26" ht="25.5" hidden="1">
      <c r="A12" s="17" t="s">
        <v>177</v>
      </c>
      <c r="B12" s="17" t="s">
        <v>98</v>
      </c>
      <c r="C12" s="17" t="s">
        <v>17</v>
      </c>
      <c r="D12" s="25" t="s">
        <v>138</v>
      </c>
      <c r="E12" s="17" t="s">
        <v>100</v>
      </c>
      <c r="F12" s="17" t="s">
        <v>139</v>
      </c>
      <c r="G12" s="17" t="s">
        <v>122</v>
      </c>
      <c r="H12" s="25" t="s">
        <v>178</v>
      </c>
      <c r="I12" s="17" t="s">
        <v>179</v>
      </c>
      <c r="J12" s="17" t="s">
        <v>105</v>
      </c>
      <c r="K12" s="17" t="s">
        <v>105</v>
      </c>
      <c r="L12" s="17" t="s">
        <v>7</v>
      </c>
      <c r="M12" s="17" t="s">
        <v>180</v>
      </c>
      <c r="N12" s="17" t="s">
        <v>181</v>
      </c>
      <c r="O12" s="17" t="s">
        <v>182</v>
      </c>
      <c r="P12" s="17" t="str">
        <f t="shared" si="0"/>
        <v>Yes</v>
      </c>
    </row>
    <row r="13" spans="1:26" ht="25.5" hidden="1">
      <c r="A13" s="17" t="s">
        <v>183</v>
      </c>
      <c r="B13" s="17" t="s">
        <v>98</v>
      </c>
      <c r="C13" s="17" t="s">
        <v>17</v>
      </c>
      <c r="D13" s="25" t="s">
        <v>146</v>
      </c>
      <c r="E13" s="17" t="s">
        <v>120</v>
      </c>
      <c r="F13" s="17" t="s">
        <v>147</v>
      </c>
      <c r="G13" s="17" t="s">
        <v>131</v>
      </c>
      <c r="H13" s="25" t="s">
        <v>184</v>
      </c>
      <c r="I13" s="17" t="s">
        <v>185</v>
      </c>
      <c r="J13" s="17" t="s">
        <v>105</v>
      </c>
      <c r="K13" s="17" t="s">
        <v>105</v>
      </c>
      <c r="L13" s="17" t="s">
        <v>7</v>
      </c>
      <c r="M13" s="17" t="s">
        <v>186</v>
      </c>
      <c r="N13" s="17" t="s">
        <v>187</v>
      </c>
      <c r="O13" s="17" t="s">
        <v>188</v>
      </c>
      <c r="P13" s="17" t="str">
        <f t="shared" si="0"/>
        <v>Yes</v>
      </c>
    </row>
    <row r="14" spans="1:26" ht="38.25" hidden="1">
      <c r="A14" s="17" t="s">
        <v>189</v>
      </c>
      <c r="B14" s="17" t="s">
        <v>98</v>
      </c>
      <c r="C14" s="17" t="s">
        <v>17</v>
      </c>
      <c r="D14" s="25" t="s">
        <v>99</v>
      </c>
      <c r="E14" s="17" t="s">
        <v>100</v>
      </c>
      <c r="F14" s="17" t="s">
        <v>101</v>
      </c>
      <c r="G14" s="17" t="s">
        <v>102</v>
      </c>
      <c r="H14" s="25" t="s">
        <v>190</v>
      </c>
      <c r="I14" s="17" t="s">
        <v>191</v>
      </c>
      <c r="J14" s="17" t="s">
        <v>105</v>
      </c>
      <c r="K14" s="17" t="s">
        <v>105</v>
      </c>
      <c r="L14" s="17" t="s">
        <v>7</v>
      </c>
      <c r="M14" s="17" t="s">
        <v>192</v>
      </c>
      <c r="N14" s="17" t="s">
        <v>193</v>
      </c>
      <c r="O14" s="17" t="s">
        <v>194</v>
      </c>
      <c r="P14" s="17" t="str">
        <f t="shared" si="0"/>
        <v>Yes</v>
      </c>
    </row>
    <row r="15" spans="1:26" ht="25.5" hidden="1">
      <c r="A15" s="17" t="s">
        <v>195</v>
      </c>
      <c r="B15" s="17" t="s">
        <v>98</v>
      </c>
      <c r="C15" s="17" t="s">
        <v>17</v>
      </c>
      <c r="D15" s="25" t="s">
        <v>110</v>
      </c>
      <c r="E15" s="17" t="s">
        <v>100</v>
      </c>
      <c r="F15" s="17" t="s">
        <v>111</v>
      </c>
      <c r="G15" s="17" t="s">
        <v>112</v>
      </c>
      <c r="H15" s="25" t="s">
        <v>196</v>
      </c>
      <c r="I15" s="17" t="s">
        <v>197</v>
      </c>
      <c r="J15" s="17" t="s">
        <v>105</v>
      </c>
      <c r="K15" s="17" t="s">
        <v>105</v>
      </c>
      <c r="L15" s="17" t="s">
        <v>7</v>
      </c>
      <c r="M15" s="17" t="s">
        <v>198</v>
      </c>
      <c r="N15" s="17" t="s">
        <v>199</v>
      </c>
      <c r="O15" s="17" t="s">
        <v>200</v>
      </c>
      <c r="P15" s="17" t="str">
        <f t="shared" si="0"/>
        <v>Yes</v>
      </c>
    </row>
    <row r="16" spans="1:26" ht="25.5" hidden="1">
      <c r="A16" s="17" t="s">
        <v>201</v>
      </c>
      <c r="B16" s="17" t="s">
        <v>98</v>
      </c>
      <c r="C16" s="17" t="s">
        <v>17</v>
      </c>
      <c r="D16" s="25" t="s">
        <v>119</v>
      </c>
      <c r="E16" s="17" t="s">
        <v>120</v>
      </c>
      <c r="F16" s="17" t="s">
        <v>121</v>
      </c>
      <c r="G16" s="17" t="s">
        <v>122</v>
      </c>
      <c r="H16" s="25" t="s">
        <v>202</v>
      </c>
      <c r="I16" s="17" t="s">
        <v>203</v>
      </c>
      <c r="J16" s="17" t="s">
        <v>105</v>
      </c>
      <c r="K16" s="17" t="s">
        <v>105</v>
      </c>
      <c r="L16" s="17" t="s">
        <v>11</v>
      </c>
      <c r="M16" s="17" t="s">
        <v>204</v>
      </c>
      <c r="N16" s="17" t="s">
        <v>205</v>
      </c>
      <c r="O16" s="17" t="s">
        <v>206</v>
      </c>
      <c r="P16" s="17" t="str">
        <f t="shared" si="0"/>
        <v>Yes</v>
      </c>
    </row>
    <row r="17" spans="1:16" ht="25.5" hidden="1">
      <c r="A17" s="17" t="s">
        <v>207</v>
      </c>
      <c r="B17" s="17" t="s">
        <v>98</v>
      </c>
      <c r="C17" s="17" t="s">
        <v>17</v>
      </c>
      <c r="D17" s="25" t="s">
        <v>129</v>
      </c>
      <c r="E17" s="17" t="s">
        <v>100</v>
      </c>
      <c r="F17" s="17" t="s">
        <v>130</v>
      </c>
      <c r="G17" s="17" t="s">
        <v>131</v>
      </c>
      <c r="H17" s="25" t="s">
        <v>208</v>
      </c>
      <c r="I17" s="17" t="s">
        <v>209</v>
      </c>
      <c r="J17" s="17" t="s">
        <v>105</v>
      </c>
      <c r="K17" s="17" t="s">
        <v>105</v>
      </c>
      <c r="L17" s="17" t="s">
        <v>7</v>
      </c>
      <c r="M17" s="17" t="s">
        <v>210</v>
      </c>
      <c r="N17" s="17" t="s">
        <v>211</v>
      </c>
      <c r="O17" s="17" t="s">
        <v>212</v>
      </c>
      <c r="P17" s="17" t="str">
        <f t="shared" si="0"/>
        <v>Yes</v>
      </c>
    </row>
    <row r="18" spans="1:16" ht="25.5" hidden="1">
      <c r="A18" s="17" t="s">
        <v>213</v>
      </c>
      <c r="B18" s="17" t="s">
        <v>98</v>
      </c>
      <c r="C18" s="17" t="s">
        <v>17</v>
      </c>
      <c r="D18" s="25" t="s">
        <v>138</v>
      </c>
      <c r="E18" s="17" t="s">
        <v>100</v>
      </c>
      <c r="F18" s="17" t="s">
        <v>139</v>
      </c>
      <c r="G18" s="17" t="s">
        <v>102</v>
      </c>
      <c r="H18" s="25" t="s">
        <v>214</v>
      </c>
      <c r="I18" s="17" t="s">
        <v>215</v>
      </c>
      <c r="J18" s="17" t="s">
        <v>105</v>
      </c>
      <c r="K18" s="17" t="s">
        <v>105</v>
      </c>
      <c r="L18" s="17" t="s">
        <v>7</v>
      </c>
      <c r="M18" s="17" t="s">
        <v>106</v>
      </c>
      <c r="N18" s="17" t="s">
        <v>216</v>
      </c>
      <c r="O18" s="17" t="s">
        <v>217</v>
      </c>
      <c r="P18" s="17" t="str">
        <f t="shared" si="0"/>
        <v>Yes</v>
      </c>
    </row>
    <row r="19" spans="1:16" ht="25.5" hidden="1">
      <c r="A19" s="17" t="s">
        <v>218</v>
      </c>
      <c r="B19" s="17" t="s">
        <v>98</v>
      </c>
      <c r="C19" s="17" t="s">
        <v>17</v>
      </c>
      <c r="D19" s="25" t="s">
        <v>146</v>
      </c>
      <c r="E19" s="17" t="s">
        <v>120</v>
      </c>
      <c r="F19" s="17" t="s">
        <v>147</v>
      </c>
      <c r="G19" s="17" t="s">
        <v>112</v>
      </c>
      <c r="H19" s="25" t="s">
        <v>219</v>
      </c>
      <c r="I19" s="17" t="s">
        <v>220</v>
      </c>
      <c r="J19" s="17" t="s">
        <v>105</v>
      </c>
      <c r="K19" s="17" t="s">
        <v>105</v>
      </c>
      <c r="L19" s="17" t="s">
        <v>7</v>
      </c>
      <c r="M19" s="17" t="s">
        <v>115</v>
      </c>
      <c r="N19" s="17" t="s">
        <v>221</v>
      </c>
      <c r="O19" s="17" t="s">
        <v>222</v>
      </c>
      <c r="P19" s="17" t="str">
        <f t="shared" si="0"/>
        <v>Yes</v>
      </c>
    </row>
    <row r="20" spans="1:16" ht="38.25" hidden="1">
      <c r="A20" s="17" t="s">
        <v>223</v>
      </c>
      <c r="B20" s="17" t="s">
        <v>98</v>
      </c>
      <c r="C20" s="17" t="s">
        <v>17</v>
      </c>
      <c r="D20" s="25" t="s">
        <v>99</v>
      </c>
      <c r="E20" s="17" t="s">
        <v>100</v>
      </c>
      <c r="F20" s="17" t="s">
        <v>101</v>
      </c>
      <c r="G20" s="17" t="s">
        <v>122</v>
      </c>
      <c r="H20" s="25" t="s">
        <v>224</v>
      </c>
      <c r="I20" s="17" t="s">
        <v>225</v>
      </c>
      <c r="J20" s="17" t="s">
        <v>105</v>
      </c>
      <c r="K20" s="17" t="s">
        <v>105</v>
      </c>
      <c r="L20" s="17" t="s">
        <v>7</v>
      </c>
      <c r="M20" s="17" t="s">
        <v>125</v>
      </c>
      <c r="N20" s="17" t="s">
        <v>107</v>
      </c>
      <c r="O20" s="17" t="s">
        <v>226</v>
      </c>
      <c r="P20" s="17" t="str">
        <f t="shared" si="0"/>
        <v>Yes</v>
      </c>
    </row>
    <row r="21" spans="1:16" ht="25.5" hidden="1">
      <c r="A21" s="17" t="s">
        <v>227</v>
      </c>
      <c r="B21" s="17" t="s">
        <v>98</v>
      </c>
      <c r="C21" s="17" t="s">
        <v>17</v>
      </c>
      <c r="D21" s="25" t="s">
        <v>110</v>
      </c>
      <c r="E21" s="17" t="s">
        <v>100</v>
      </c>
      <c r="F21" s="17" t="s">
        <v>111</v>
      </c>
      <c r="G21" s="17" t="s">
        <v>131</v>
      </c>
      <c r="H21" s="25" t="s">
        <v>228</v>
      </c>
      <c r="I21" s="17" t="s">
        <v>229</v>
      </c>
      <c r="J21" s="17" t="s">
        <v>105</v>
      </c>
      <c r="K21" s="17" t="s">
        <v>105</v>
      </c>
      <c r="L21" s="17" t="s">
        <v>11</v>
      </c>
      <c r="M21" s="17" t="s">
        <v>134</v>
      </c>
      <c r="N21" s="17" t="s">
        <v>116</v>
      </c>
      <c r="O21" s="17" t="s">
        <v>230</v>
      </c>
      <c r="P21" s="17" t="str">
        <f t="shared" si="0"/>
        <v>Yes</v>
      </c>
    </row>
    <row r="22" spans="1:16" ht="25.5" hidden="1">
      <c r="A22" s="17" t="s">
        <v>231</v>
      </c>
      <c r="B22" s="17" t="s">
        <v>98</v>
      </c>
      <c r="C22" s="17" t="s">
        <v>17</v>
      </c>
      <c r="D22" s="25" t="s">
        <v>119</v>
      </c>
      <c r="E22" s="17" t="s">
        <v>120</v>
      </c>
      <c r="F22" s="17" t="s">
        <v>121</v>
      </c>
      <c r="G22" s="17" t="s">
        <v>102</v>
      </c>
      <c r="H22" s="25" t="s">
        <v>232</v>
      </c>
      <c r="I22" s="17" t="s">
        <v>233</v>
      </c>
      <c r="J22" s="17" t="s">
        <v>105</v>
      </c>
      <c r="K22" s="17" t="s">
        <v>105</v>
      </c>
      <c r="L22" s="17" t="s">
        <v>7</v>
      </c>
      <c r="M22" s="17" t="s">
        <v>142</v>
      </c>
      <c r="N22" s="17" t="s">
        <v>126</v>
      </c>
      <c r="O22" s="17" t="s">
        <v>234</v>
      </c>
      <c r="P22" s="17" t="str">
        <f t="shared" si="0"/>
        <v>Yes</v>
      </c>
    </row>
    <row r="23" spans="1:16" ht="25.5" hidden="1">
      <c r="A23" s="17" t="s">
        <v>235</v>
      </c>
      <c r="B23" s="17" t="s">
        <v>98</v>
      </c>
      <c r="C23" s="17" t="s">
        <v>17</v>
      </c>
      <c r="D23" s="25" t="s">
        <v>129</v>
      </c>
      <c r="E23" s="17" t="s">
        <v>100</v>
      </c>
      <c r="F23" s="17" t="s">
        <v>130</v>
      </c>
      <c r="G23" s="17" t="s">
        <v>112</v>
      </c>
      <c r="H23" s="25" t="s">
        <v>236</v>
      </c>
      <c r="I23" s="17" t="s">
        <v>237</v>
      </c>
      <c r="J23" s="17" t="s">
        <v>105</v>
      </c>
      <c r="K23" s="17" t="s">
        <v>105</v>
      </c>
      <c r="L23" s="17" t="s">
        <v>7</v>
      </c>
      <c r="M23" s="17" t="s">
        <v>150</v>
      </c>
      <c r="N23" s="17" t="s">
        <v>135</v>
      </c>
      <c r="O23" s="17" t="s">
        <v>238</v>
      </c>
      <c r="P23" s="17" t="str">
        <f t="shared" si="0"/>
        <v>Yes</v>
      </c>
    </row>
    <row r="24" spans="1:16" ht="25.5" hidden="1">
      <c r="A24" s="17" t="s">
        <v>239</v>
      </c>
      <c r="B24" s="17" t="s">
        <v>98</v>
      </c>
      <c r="C24" s="17" t="s">
        <v>17</v>
      </c>
      <c r="D24" s="25" t="s">
        <v>138</v>
      </c>
      <c r="E24" s="17" t="s">
        <v>100</v>
      </c>
      <c r="F24" s="17" t="s">
        <v>139</v>
      </c>
      <c r="G24" s="17" t="s">
        <v>122</v>
      </c>
      <c r="H24" s="25" t="s">
        <v>240</v>
      </c>
      <c r="I24" s="17" t="s">
        <v>241</v>
      </c>
      <c r="J24" s="17" t="s">
        <v>105</v>
      </c>
      <c r="K24" s="17" t="s">
        <v>105</v>
      </c>
      <c r="L24" s="17" t="s">
        <v>7</v>
      </c>
      <c r="M24" s="17" t="s">
        <v>156</v>
      </c>
      <c r="N24" s="17" t="s">
        <v>143</v>
      </c>
      <c r="O24" s="17" t="s">
        <v>242</v>
      </c>
      <c r="P24" s="17" t="str">
        <f t="shared" si="0"/>
        <v>Yes</v>
      </c>
    </row>
    <row r="25" spans="1:16" ht="25.5" hidden="1">
      <c r="A25" s="17" t="s">
        <v>243</v>
      </c>
      <c r="B25" s="17" t="s">
        <v>98</v>
      </c>
      <c r="C25" s="17" t="s">
        <v>17</v>
      </c>
      <c r="D25" s="25" t="s">
        <v>146</v>
      </c>
      <c r="E25" s="17" t="s">
        <v>120</v>
      </c>
      <c r="F25" s="17" t="s">
        <v>147</v>
      </c>
      <c r="G25" s="17" t="s">
        <v>131</v>
      </c>
      <c r="H25" s="25" t="s">
        <v>244</v>
      </c>
      <c r="I25" s="17" t="s">
        <v>245</v>
      </c>
      <c r="J25" s="17" t="s">
        <v>105</v>
      </c>
      <c r="K25" s="17" t="s">
        <v>105</v>
      </c>
      <c r="L25" s="17" t="s">
        <v>7</v>
      </c>
      <c r="M25" s="17" t="s">
        <v>162</v>
      </c>
      <c r="N25" s="17" t="s">
        <v>151</v>
      </c>
      <c r="O25" s="17" t="s">
        <v>246</v>
      </c>
      <c r="P25" s="17" t="str">
        <f t="shared" si="0"/>
        <v>Yes</v>
      </c>
    </row>
    <row r="26" spans="1:16" ht="25.5" hidden="1">
      <c r="A26" s="17" t="s">
        <v>247</v>
      </c>
      <c r="B26" s="17" t="s">
        <v>248</v>
      </c>
      <c r="C26" s="17" t="s">
        <v>17</v>
      </c>
      <c r="D26" s="25" t="s">
        <v>249</v>
      </c>
      <c r="E26" s="17" t="s">
        <v>100</v>
      </c>
      <c r="F26" s="17" t="s">
        <v>250</v>
      </c>
      <c r="G26" s="17" t="s">
        <v>102</v>
      </c>
      <c r="H26" s="25" t="s">
        <v>251</v>
      </c>
      <c r="I26" s="17" t="s">
        <v>252</v>
      </c>
      <c r="J26" s="17" t="s">
        <v>105</v>
      </c>
      <c r="K26" s="17" t="s">
        <v>105</v>
      </c>
      <c r="L26" s="17" t="s">
        <v>11</v>
      </c>
      <c r="M26" s="17" t="s">
        <v>168</v>
      </c>
      <c r="N26" s="17" t="s">
        <v>157</v>
      </c>
      <c r="O26" s="17" t="s">
        <v>253</v>
      </c>
      <c r="P26" s="17" t="str">
        <f t="shared" si="0"/>
        <v>Yes</v>
      </c>
    </row>
    <row r="27" spans="1:16" ht="25.5" hidden="1">
      <c r="A27" s="17" t="s">
        <v>254</v>
      </c>
      <c r="B27" s="17" t="s">
        <v>248</v>
      </c>
      <c r="C27" s="17" t="s">
        <v>17</v>
      </c>
      <c r="D27" s="25" t="s">
        <v>255</v>
      </c>
      <c r="E27" s="17" t="s">
        <v>100</v>
      </c>
      <c r="F27" s="17" t="s">
        <v>256</v>
      </c>
      <c r="G27" s="17" t="s">
        <v>112</v>
      </c>
      <c r="H27" s="25" t="s">
        <v>257</v>
      </c>
      <c r="I27" s="17" t="s">
        <v>258</v>
      </c>
      <c r="J27" s="17" t="s">
        <v>105</v>
      </c>
      <c r="K27" s="17" t="s">
        <v>105</v>
      </c>
      <c r="L27" s="17" t="s">
        <v>7</v>
      </c>
      <c r="M27" s="17" t="s">
        <v>174</v>
      </c>
      <c r="N27" s="17" t="s">
        <v>163</v>
      </c>
      <c r="O27" s="17" t="s">
        <v>259</v>
      </c>
      <c r="P27" s="17" t="str">
        <f t="shared" si="0"/>
        <v>Yes</v>
      </c>
    </row>
    <row r="28" spans="1:16" ht="25.5" hidden="1">
      <c r="A28" s="17" t="s">
        <v>260</v>
      </c>
      <c r="B28" s="17" t="s">
        <v>248</v>
      </c>
      <c r="C28" s="17" t="s">
        <v>17</v>
      </c>
      <c r="D28" s="25" t="s">
        <v>261</v>
      </c>
      <c r="E28" s="17" t="s">
        <v>120</v>
      </c>
      <c r="F28" s="17" t="s">
        <v>262</v>
      </c>
      <c r="G28" s="17" t="s">
        <v>122</v>
      </c>
      <c r="H28" s="25" t="s">
        <v>263</v>
      </c>
      <c r="I28" s="17" t="s">
        <v>264</v>
      </c>
      <c r="J28" s="17" t="s">
        <v>105</v>
      </c>
      <c r="K28" s="17" t="s">
        <v>105</v>
      </c>
      <c r="L28" s="17" t="s">
        <v>7</v>
      </c>
      <c r="M28" s="17" t="s">
        <v>180</v>
      </c>
      <c r="N28" s="17" t="s">
        <v>169</v>
      </c>
      <c r="O28" s="17" t="s">
        <v>265</v>
      </c>
      <c r="P28" s="17" t="str">
        <f t="shared" si="0"/>
        <v>Yes</v>
      </c>
    </row>
    <row r="29" spans="1:16" ht="25.5" hidden="1">
      <c r="A29" s="17" t="s">
        <v>266</v>
      </c>
      <c r="B29" s="17" t="s">
        <v>248</v>
      </c>
      <c r="C29" s="17" t="s">
        <v>17</v>
      </c>
      <c r="D29" s="25" t="s">
        <v>267</v>
      </c>
      <c r="E29" s="17" t="s">
        <v>100</v>
      </c>
      <c r="F29" s="17" t="s">
        <v>268</v>
      </c>
      <c r="G29" s="17" t="s">
        <v>131</v>
      </c>
      <c r="H29" s="25" t="s">
        <v>269</v>
      </c>
      <c r="I29" s="17" t="s">
        <v>270</v>
      </c>
      <c r="J29" s="17" t="s">
        <v>105</v>
      </c>
      <c r="K29" s="17" t="s">
        <v>105</v>
      </c>
      <c r="L29" s="17" t="s">
        <v>7</v>
      </c>
      <c r="M29" s="17" t="s">
        <v>186</v>
      </c>
      <c r="N29" s="17" t="s">
        <v>175</v>
      </c>
      <c r="O29" s="17" t="s">
        <v>271</v>
      </c>
      <c r="P29" s="17" t="str">
        <f t="shared" si="0"/>
        <v>Yes</v>
      </c>
    </row>
    <row r="30" spans="1:16" ht="25.5" hidden="1">
      <c r="A30" s="17" t="s">
        <v>272</v>
      </c>
      <c r="B30" s="17" t="s">
        <v>248</v>
      </c>
      <c r="C30" s="17" t="s">
        <v>17</v>
      </c>
      <c r="D30" s="25" t="s">
        <v>273</v>
      </c>
      <c r="E30" s="17" t="s">
        <v>100</v>
      </c>
      <c r="F30" s="17" t="s">
        <v>274</v>
      </c>
      <c r="G30" s="17" t="s">
        <v>102</v>
      </c>
      <c r="H30" s="25" t="s">
        <v>251</v>
      </c>
      <c r="I30" s="17" t="s">
        <v>275</v>
      </c>
      <c r="J30" s="17" t="s">
        <v>105</v>
      </c>
      <c r="K30" s="17" t="s">
        <v>105</v>
      </c>
      <c r="L30" s="17" t="s">
        <v>7</v>
      </c>
      <c r="M30" s="17" t="s">
        <v>192</v>
      </c>
      <c r="N30" s="17" t="s">
        <v>181</v>
      </c>
      <c r="O30" s="17" t="s">
        <v>276</v>
      </c>
      <c r="P30" s="17" t="str">
        <f t="shared" si="0"/>
        <v>Yes</v>
      </c>
    </row>
    <row r="31" spans="1:16" ht="25.5" hidden="1">
      <c r="A31" s="17" t="s">
        <v>277</v>
      </c>
      <c r="B31" s="17" t="s">
        <v>248</v>
      </c>
      <c r="C31" s="17" t="s">
        <v>17</v>
      </c>
      <c r="D31" s="25" t="s">
        <v>249</v>
      </c>
      <c r="E31" s="17" t="s">
        <v>120</v>
      </c>
      <c r="F31" s="17" t="s">
        <v>278</v>
      </c>
      <c r="G31" s="17" t="s">
        <v>112</v>
      </c>
      <c r="H31" s="25" t="s">
        <v>257</v>
      </c>
      <c r="I31" s="17" t="s">
        <v>279</v>
      </c>
      <c r="J31" s="17" t="s">
        <v>105</v>
      </c>
      <c r="K31" s="17" t="s">
        <v>105</v>
      </c>
      <c r="L31" s="17" t="s">
        <v>11</v>
      </c>
      <c r="M31" s="17" t="s">
        <v>198</v>
      </c>
      <c r="N31" s="17" t="s">
        <v>187</v>
      </c>
      <c r="O31" s="17" t="s">
        <v>280</v>
      </c>
      <c r="P31" s="17" t="str">
        <f t="shared" si="0"/>
        <v>Yes</v>
      </c>
    </row>
    <row r="32" spans="1:16" ht="25.5" hidden="1">
      <c r="A32" s="17" t="s">
        <v>281</v>
      </c>
      <c r="B32" s="17" t="s">
        <v>248</v>
      </c>
      <c r="C32" s="17" t="s">
        <v>17</v>
      </c>
      <c r="D32" s="25" t="s">
        <v>255</v>
      </c>
      <c r="E32" s="17" t="s">
        <v>100</v>
      </c>
      <c r="F32" s="17" t="s">
        <v>250</v>
      </c>
      <c r="G32" s="17" t="s">
        <v>122</v>
      </c>
      <c r="H32" s="25" t="s">
        <v>263</v>
      </c>
      <c r="I32" s="17" t="s">
        <v>282</v>
      </c>
      <c r="J32" s="17" t="s">
        <v>105</v>
      </c>
      <c r="K32" s="17" t="s">
        <v>105</v>
      </c>
      <c r="L32" s="17" t="s">
        <v>7</v>
      </c>
      <c r="M32" s="17" t="s">
        <v>204</v>
      </c>
      <c r="N32" s="17" t="s">
        <v>193</v>
      </c>
      <c r="O32" s="17" t="s">
        <v>283</v>
      </c>
      <c r="P32" s="17" t="str">
        <f t="shared" si="0"/>
        <v>Yes</v>
      </c>
    </row>
    <row r="33" spans="1:16" ht="25.5" hidden="1">
      <c r="A33" s="17" t="s">
        <v>284</v>
      </c>
      <c r="B33" s="17" t="s">
        <v>248</v>
      </c>
      <c r="C33" s="17" t="s">
        <v>17</v>
      </c>
      <c r="D33" s="25" t="s">
        <v>261</v>
      </c>
      <c r="E33" s="17" t="s">
        <v>100</v>
      </c>
      <c r="F33" s="17" t="s">
        <v>256</v>
      </c>
      <c r="G33" s="17" t="s">
        <v>131</v>
      </c>
      <c r="H33" s="25" t="s">
        <v>269</v>
      </c>
      <c r="I33" s="17" t="s">
        <v>285</v>
      </c>
      <c r="J33" s="17" t="s">
        <v>105</v>
      </c>
      <c r="K33" s="17" t="s">
        <v>105</v>
      </c>
      <c r="L33" s="17" t="s">
        <v>7</v>
      </c>
      <c r="M33" s="17" t="s">
        <v>210</v>
      </c>
      <c r="N33" s="17" t="s">
        <v>199</v>
      </c>
      <c r="O33" s="17" t="s">
        <v>286</v>
      </c>
      <c r="P33" s="17" t="str">
        <f t="shared" si="0"/>
        <v>Yes</v>
      </c>
    </row>
    <row r="34" spans="1:16" ht="25.5" hidden="1">
      <c r="A34" s="17" t="s">
        <v>287</v>
      </c>
      <c r="B34" s="17" t="s">
        <v>248</v>
      </c>
      <c r="C34" s="17" t="s">
        <v>17</v>
      </c>
      <c r="D34" s="25" t="s">
        <v>267</v>
      </c>
      <c r="E34" s="17" t="s">
        <v>120</v>
      </c>
      <c r="F34" s="17" t="s">
        <v>262</v>
      </c>
      <c r="G34" s="17" t="s">
        <v>102</v>
      </c>
      <c r="H34" s="25" t="s">
        <v>251</v>
      </c>
      <c r="I34" s="17" t="s">
        <v>288</v>
      </c>
      <c r="J34" s="17" t="s">
        <v>105</v>
      </c>
      <c r="K34" s="17" t="s">
        <v>105</v>
      </c>
      <c r="L34" s="17" t="s">
        <v>7</v>
      </c>
      <c r="M34" s="17" t="s">
        <v>106</v>
      </c>
      <c r="N34" s="17" t="s">
        <v>205</v>
      </c>
      <c r="O34" s="17" t="s">
        <v>289</v>
      </c>
      <c r="P34" s="17" t="str">
        <f t="shared" ref="P34:P65" si="1">IF(L34&lt;&gt;"Complete","Yes","No")</f>
        <v>Yes</v>
      </c>
    </row>
    <row r="35" spans="1:16" ht="25.5" hidden="1">
      <c r="A35" s="17" t="s">
        <v>290</v>
      </c>
      <c r="B35" s="17" t="s">
        <v>248</v>
      </c>
      <c r="C35" s="17" t="s">
        <v>17</v>
      </c>
      <c r="D35" s="25" t="s">
        <v>273</v>
      </c>
      <c r="E35" s="17" t="s">
        <v>100</v>
      </c>
      <c r="F35" s="17" t="s">
        <v>268</v>
      </c>
      <c r="G35" s="17" t="s">
        <v>112</v>
      </c>
      <c r="H35" s="25" t="s">
        <v>257</v>
      </c>
      <c r="I35" s="17" t="s">
        <v>291</v>
      </c>
      <c r="J35" s="17" t="s">
        <v>105</v>
      </c>
      <c r="K35" s="17" t="s">
        <v>105</v>
      </c>
      <c r="L35" s="17" t="s">
        <v>7</v>
      </c>
      <c r="M35" s="17" t="s">
        <v>115</v>
      </c>
      <c r="N35" s="17" t="s">
        <v>211</v>
      </c>
      <c r="O35" s="17" t="s">
        <v>292</v>
      </c>
      <c r="P35" s="17" t="str">
        <f t="shared" si="1"/>
        <v>Yes</v>
      </c>
    </row>
    <row r="36" spans="1:16" ht="25.5" hidden="1">
      <c r="A36" s="17" t="s">
        <v>293</v>
      </c>
      <c r="B36" s="17" t="s">
        <v>248</v>
      </c>
      <c r="C36" s="17" t="s">
        <v>17</v>
      </c>
      <c r="D36" s="25" t="s">
        <v>249</v>
      </c>
      <c r="E36" s="17" t="s">
        <v>100</v>
      </c>
      <c r="F36" s="17" t="s">
        <v>274</v>
      </c>
      <c r="G36" s="17" t="s">
        <v>122</v>
      </c>
      <c r="H36" s="25" t="s">
        <v>263</v>
      </c>
      <c r="I36" s="17" t="s">
        <v>294</v>
      </c>
      <c r="J36" s="17" t="s">
        <v>105</v>
      </c>
      <c r="K36" s="17" t="s">
        <v>105</v>
      </c>
      <c r="L36" s="17" t="s">
        <v>11</v>
      </c>
      <c r="M36" s="17" t="s">
        <v>125</v>
      </c>
      <c r="N36" s="17" t="s">
        <v>216</v>
      </c>
      <c r="O36" s="17" t="s">
        <v>295</v>
      </c>
      <c r="P36" s="17" t="str">
        <f t="shared" si="1"/>
        <v>Yes</v>
      </c>
    </row>
    <row r="37" spans="1:16" ht="25.5" hidden="1">
      <c r="A37" s="17" t="s">
        <v>296</v>
      </c>
      <c r="B37" s="17" t="s">
        <v>248</v>
      </c>
      <c r="C37" s="17" t="s">
        <v>17</v>
      </c>
      <c r="D37" s="25" t="s">
        <v>255</v>
      </c>
      <c r="E37" s="17" t="s">
        <v>120</v>
      </c>
      <c r="F37" s="17" t="s">
        <v>278</v>
      </c>
      <c r="G37" s="17" t="s">
        <v>131</v>
      </c>
      <c r="H37" s="25" t="s">
        <v>269</v>
      </c>
      <c r="I37" s="17" t="s">
        <v>297</v>
      </c>
      <c r="J37" s="17" t="s">
        <v>105</v>
      </c>
      <c r="K37" s="17" t="s">
        <v>105</v>
      </c>
      <c r="L37" s="17" t="s">
        <v>7</v>
      </c>
      <c r="M37" s="17" t="s">
        <v>134</v>
      </c>
      <c r="N37" s="17" t="s">
        <v>221</v>
      </c>
      <c r="O37" s="17" t="s">
        <v>298</v>
      </c>
      <c r="P37" s="17" t="str">
        <f t="shared" si="1"/>
        <v>Yes</v>
      </c>
    </row>
    <row r="38" spans="1:16" ht="25.5" hidden="1">
      <c r="A38" s="17" t="s">
        <v>299</v>
      </c>
      <c r="B38" s="17" t="s">
        <v>248</v>
      </c>
      <c r="C38" s="17" t="s">
        <v>17</v>
      </c>
      <c r="D38" s="25" t="s">
        <v>261</v>
      </c>
      <c r="E38" s="17" t="s">
        <v>100</v>
      </c>
      <c r="F38" s="17" t="s">
        <v>250</v>
      </c>
      <c r="G38" s="17" t="s">
        <v>102</v>
      </c>
      <c r="H38" s="25" t="s">
        <v>251</v>
      </c>
      <c r="I38" s="17" t="s">
        <v>300</v>
      </c>
      <c r="J38" s="17" t="s">
        <v>105</v>
      </c>
      <c r="K38" s="17" t="s">
        <v>105</v>
      </c>
      <c r="L38" s="17" t="s">
        <v>7</v>
      </c>
      <c r="M38" s="17" t="s">
        <v>142</v>
      </c>
      <c r="N38" s="17" t="s">
        <v>107</v>
      </c>
      <c r="O38" s="17" t="s">
        <v>301</v>
      </c>
      <c r="P38" s="17" t="str">
        <f t="shared" si="1"/>
        <v>Yes</v>
      </c>
    </row>
    <row r="39" spans="1:16" ht="25.5" hidden="1">
      <c r="A39" s="17" t="s">
        <v>302</v>
      </c>
      <c r="B39" s="17" t="s">
        <v>248</v>
      </c>
      <c r="C39" s="17" t="s">
        <v>17</v>
      </c>
      <c r="D39" s="25" t="s">
        <v>267</v>
      </c>
      <c r="E39" s="17" t="s">
        <v>100</v>
      </c>
      <c r="F39" s="17" t="s">
        <v>256</v>
      </c>
      <c r="G39" s="17" t="s">
        <v>112</v>
      </c>
      <c r="H39" s="25" t="s">
        <v>257</v>
      </c>
      <c r="I39" s="17" t="s">
        <v>303</v>
      </c>
      <c r="J39" s="17" t="s">
        <v>105</v>
      </c>
      <c r="K39" s="17" t="s">
        <v>105</v>
      </c>
      <c r="L39" s="17" t="s">
        <v>7</v>
      </c>
      <c r="M39" s="17" t="s">
        <v>150</v>
      </c>
      <c r="N39" s="17" t="s">
        <v>116</v>
      </c>
      <c r="O39" s="17" t="s">
        <v>304</v>
      </c>
      <c r="P39" s="17" t="str">
        <f t="shared" si="1"/>
        <v>Yes</v>
      </c>
    </row>
    <row r="40" spans="1:16" ht="25.5" hidden="1">
      <c r="A40" s="17" t="s">
        <v>305</v>
      </c>
      <c r="B40" s="17" t="s">
        <v>248</v>
      </c>
      <c r="C40" s="17" t="s">
        <v>17</v>
      </c>
      <c r="D40" s="25" t="s">
        <v>273</v>
      </c>
      <c r="E40" s="17" t="s">
        <v>120</v>
      </c>
      <c r="F40" s="17" t="s">
        <v>262</v>
      </c>
      <c r="G40" s="17" t="s">
        <v>122</v>
      </c>
      <c r="H40" s="25" t="s">
        <v>263</v>
      </c>
      <c r="I40" s="17" t="s">
        <v>306</v>
      </c>
      <c r="J40" s="17" t="s">
        <v>105</v>
      </c>
      <c r="K40" s="17" t="s">
        <v>105</v>
      </c>
      <c r="L40" s="17" t="s">
        <v>7</v>
      </c>
      <c r="M40" s="17" t="s">
        <v>156</v>
      </c>
      <c r="N40" s="17" t="s">
        <v>126</v>
      </c>
      <c r="O40" s="17" t="s">
        <v>307</v>
      </c>
      <c r="P40" s="17" t="str">
        <f t="shared" si="1"/>
        <v>Yes</v>
      </c>
    </row>
    <row r="41" spans="1:16" ht="25.5" hidden="1">
      <c r="A41" s="17" t="s">
        <v>308</v>
      </c>
      <c r="B41" s="17" t="s">
        <v>248</v>
      </c>
      <c r="C41" s="17" t="s">
        <v>17</v>
      </c>
      <c r="D41" s="25" t="s">
        <v>249</v>
      </c>
      <c r="E41" s="17" t="s">
        <v>100</v>
      </c>
      <c r="F41" s="17" t="s">
        <v>268</v>
      </c>
      <c r="G41" s="17" t="s">
        <v>131</v>
      </c>
      <c r="H41" s="25" t="s">
        <v>269</v>
      </c>
      <c r="I41" s="17" t="s">
        <v>309</v>
      </c>
      <c r="J41" s="17" t="s">
        <v>105</v>
      </c>
      <c r="K41" s="17" t="s">
        <v>105</v>
      </c>
      <c r="L41" s="17" t="s">
        <v>11</v>
      </c>
      <c r="M41" s="17" t="s">
        <v>162</v>
      </c>
      <c r="N41" s="17" t="s">
        <v>135</v>
      </c>
      <c r="O41" s="17" t="s">
        <v>310</v>
      </c>
      <c r="P41" s="17" t="str">
        <f t="shared" si="1"/>
        <v>Yes</v>
      </c>
    </row>
    <row r="42" spans="1:16" ht="25.5" hidden="1">
      <c r="A42" s="17" t="s">
        <v>311</v>
      </c>
      <c r="B42" s="17" t="s">
        <v>248</v>
      </c>
      <c r="C42" s="17" t="s">
        <v>17</v>
      </c>
      <c r="D42" s="25" t="s">
        <v>255</v>
      </c>
      <c r="E42" s="17" t="s">
        <v>100</v>
      </c>
      <c r="F42" s="17" t="s">
        <v>274</v>
      </c>
      <c r="G42" s="17" t="s">
        <v>102</v>
      </c>
      <c r="H42" s="25" t="s">
        <v>251</v>
      </c>
      <c r="I42" s="17" t="s">
        <v>312</v>
      </c>
      <c r="J42" s="17" t="s">
        <v>105</v>
      </c>
      <c r="K42" s="17" t="s">
        <v>105</v>
      </c>
      <c r="L42" s="17" t="s">
        <v>7</v>
      </c>
      <c r="M42" s="17" t="s">
        <v>168</v>
      </c>
      <c r="N42" s="17" t="s">
        <v>143</v>
      </c>
      <c r="O42" s="17" t="s">
        <v>313</v>
      </c>
      <c r="P42" s="17" t="str">
        <f t="shared" si="1"/>
        <v>Yes</v>
      </c>
    </row>
    <row r="43" spans="1:16" ht="25.5" hidden="1">
      <c r="A43" s="17" t="s">
        <v>314</v>
      </c>
      <c r="B43" s="17" t="s">
        <v>248</v>
      </c>
      <c r="C43" s="17" t="s">
        <v>17</v>
      </c>
      <c r="D43" s="25" t="s">
        <v>261</v>
      </c>
      <c r="E43" s="17" t="s">
        <v>120</v>
      </c>
      <c r="F43" s="17" t="s">
        <v>278</v>
      </c>
      <c r="G43" s="17" t="s">
        <v>112</v>
      </c>
      <c r="H43" s="25" t="s">
        <v>257</v>
      </c>
      <c r="I43" s="17" t="s">
        <v>315</v>
      </c>
      <c r="J43" s="17" t="s">
        <v>105</v>
      </c>
      <c r="K43" s="17" t="s">
        <v>105</v>
      </c>
      <c r="L43" s="17" t="s">
        <v>7</v>
      </c>
      <c r="M43" s="17" t="s">
        <v>174</v>
      </c>
      <c r="N43" s="17" t="s">
        <v>151</v>
      </c>
      <c r="O43" s="17" t="s">
        <v>316</v>
      </c>
      <c r="P43" s="17" t="str">
        <f t="shared" si="1"/>
        <v>Yes</v>
      </c>
    </row>
    <row r="44" spans="1:16" ht="25.5" hidden="1">
      <c r="A44" s="17" t="s">
        <v>317</v>
      </c>
      <c r="B44" s="17" t="s">
        <v>248</v>
      </c>
      <c r="C44" s="17" t="s">
        <v>17</v>
      </c>
      <c r="D44" s="25" t="s">
        <v>267</v>
      </c>
      <c r="E44" s="17" t="s">
        <v>100</v>
      </c>
      <c r="F44" s="17" t="s">
        <v>250</v>
      </c>
      <c r="G44" s="17" t="s">
        <v>122</v>
      </c>
      <c r="H44" s="25" t="s">
        <v>263</v>
      </c>
      <c r="I44" s="17" t="s">
        <v>318</v>
      </c>
      <c r="J44" s="17" t="s">
        <v>105</v>
      </c>
      <c r="K44" s="17" t="s">
        <v>105</v>
      </c>
      <c r="L44" s="17" t="s">
        <v>7</v>
      </c>
      <c r="M44" s="17" t="s">
        <v>180</v>
      </c>
      <c r="N44" s="17" t="s">
        <v>157</v>
      </c>
      <c r="O44" s="17" t="s">
        <v>319</v>
      </c>
      <c r="P44" s="17" t="str">
        <f t="shared" si="1"/>
        <v>Yes</v>
      </c>
    </row>
    <row r="45" spans="1:16" ht="25.5" hidden="1">
      <c r="A45" s="17" t="s">
        <v>320</v>
      </c>
      <c r="B45" s="17" t="s">
        <v>248</v>
      </c>
      <c r="C45" s="17" t="s">
        <v>17</v>
      </c>
      <c r="D45" s="25" t="s">
        <v>273</v>
      </c>
      <c r="E45" s="17" t="s">
        <v>100</v>
      </c>
      <c r="F45" s="17" t="s">
        <v>256</v>
      </c>
      <c r="G45" s="17" t="s">
        <v>131</v>
      </c>
      <c r="H45" s="25" t="s">
        <v>269</v>
      </c>
      <c r="I45" s="17" t="s">
        <v>321</v>
      </c>
      <c r="J45" s="17" t="s">
        <v>105</v>
      </c>
      <c r="K45" s="17" t="s">
        <v>105</v>
      </c>
      <c r="L45" s="17" t="s">
        <v>7</v>
      </c>
      <c r="M45" s="17" t="s">
        <v>186</v>
      </c>
      <c r="N45" s="17" t="s">
        <v>163</v>
      </c>
      <c r="O45" s="17" t="s">
        <v>322</v>
      </c>
      <c r="P45" s="17" t="str">
        <f t="shared" si="1"/>
        <v>Yes</v>
      </c>
    </row>
    <row r="46" spans="1:16" ht="25.5" hidden="1">
      <c r="A46" s="17" t="s">
        <v>323</v>
      </c>
      <c r="B46" s="17" t="s">
        <v>248</v>
      </c>
      <c r="C46" s="17" t="s">
        <v>17</v>
      </c>
      <c r="D46" s="25" t="s">
        <v>249</v>
      </c>
      <c r="E46" s="17" t="s">
        <v>120</v>
      </c>
      <c r="F46" s="17" t="s">
        <v>262</v>
      </c>
      <c r="G46" s="17" t="s">
        <v>102</v>
      </c>
      <c r="H46" s="25" t="s">
        <v>251</v>
      </c>
      <c r="I46" s="17" t="s">
        <v>324</v>
      </c>
      <c r="J46" s="17" t="s">
        <v>105</v>
      </c>
      <c r="K46" s="17" t="s">
        <v>105</v>
      </c>
      <c r="L46" s="17" t="s">
        <v>11</v>
      </c>
      <c r="M46" s="17" t="s">
        <v>192</v>
      </c>
      <c r="N46" s="17" t="s">
        <v>169</v>
      </c>
      <c r="O46" s="17" t="s">
        <v>325</v>
      </c>
      <c r="P46" s="17" t="str">
        <f t="shared" si="1"/>
        <v>Yes</v>
      </c>
    </row>
    <row r="47" spans="1:16" ht="25.5" hidden="1">
      <c r="A47" s="17" t="s">
        <v>326</v>
      </c>
      <c r="B47" s="17" t="s">
        <v>248</v>
      </c>
      <c r="C47" s="17" t="s">
        <v>17</v>
      </c>
      <c r="D47" s="25" t="s">
        <v>255</v>
      </c>
      <c r="E47" s="17" t="s">
        <v>100</v>
      </c>
      <c r="F47" s="17" t="s">
        <v>268</v>
      </c>
      <c r="G47" s="17" t="s">
        <v>112</v>
      </c>
      <c r="H47" s="25" t="s">
        <v>257</v>
      </c>
      <c r="I47" s="17" t="s">
        <v>327</v>
      </c>
      <c r="J47" s="17" t="s">
        <v>105</v>
      </c>
      <c r="K47" s="17" t="s">
        <v>105</v>
      </c>
      <c r="L47" s="17" t="s">
        <v>7</v>
      </c>
      <c r="M47" s="17" t="s">
        <v>198</v>
      </c>
      <c r="N47" s="17" t="s">
        <v>175</v>
      </c>
      <c r="O47" s="17" t="s">
        <v>328</v>
      </c>
      <c r="P47" s="17" t="str">
        <f t="shared" si="1"/>
        <v>Yes</v>
      </c>
    </row>
    <row r="48" spans="1:16" ht="25.5" hidden="1">
      <c r="A48" s="17" t="s">
        <v>329</v>
      </c>
      <c r="B48" s="17" t="s">
        <v>330</v>
      </c>
      <c r="C48" s="17" t="s">
        <v>17</v>
      </c>
      <c r="D48" s="25" t="s">
        <v>331</v>
      </c>
      <c r="E48" s="17" t="s">
        <v>100</v>
      </c>
      <c r="F48" s="17" t="s">
        <v>332</v>
      </c>
      <c r="G48" s="17" t="s">
        <v>102</v>
      </c>
      <c r="H48" s="25" t="s">
        <v>333</v>
      </c>
      <c r="I48" s="17" t="s">
        <v>334</v>
      </c>
      <c r="J48" s="17" t="s">
        <v>105</v>
      </c>
      <c r="K48" s="17" t="s">
        <v>105</v>
      </c>
      <c r="L48" s="17" t="s">
        <v>7</v>
      </c>
      <c r="M48" s="17" t="s">
        <v>204</v>
      </c>
      <c r="N48" s="17" t="s">
        <v>181</v>
      </c>
      <c r="O48" s="17" t="s">
        <v>335</v>
      </c>
      <c r="P48" s="17" t="str">
        <f t="shared" si="1"/>
        <v>Yes</v>
      </c>
    </row>
    <row r="49" spans="1:16" ht="25.5" hidden="1">
      <c r="A49" s="17" t="s">
        <v>336</v>
      </c>
      <c r="B49" s="17" t="s">
        <v>330</v>
      </c>
      <c r="C49" s="17" t="s">
        <v>17</v>
      </c>
      <c r="D49" s="25" t="s">
        <v>337</v>
      </c>
      <c r="E49" s="17" t="s">
        <v>100</v>
      </c>
      <c r="F49" s="17" t="s">
        <v>338</v>
      </c>
      <c r="G49" s="17" t="s">
        <v>112</v>
      </c>
      <c r="H49" s="25" t="s">
        <v>339</v>
      </c>
      <c r="I49" s="17" t="s">
        <v>340</v>
      </c>
      <c r="J49" s="17" t="s">
        <v>105</v>
      </c>
      <c r="K49" s="17" t="s">
        <v>105</v>
      </c>
      <c r="L49" s="17" t="s">
        <v>7</v>
      </c>
      <c r="M49" s="17" t="s">
        <v>210</v>
      </c>
      <c r="N49" s="17" t="s">
        <v>187</v>
      </c>
      <c r="O49" s="17" t="s">
        <v>341</v>
      </c>
      <c r="P49" s="17" t="str">
        <f t="shared" si="1"/>
        <v>Yes</v>
      </c>
    </row>
    <row r="50" spans="1:16" ht="25.5" hidden="1">
      <c r="A50" s="17" t="s">
        <v>342</v>
      </c>
      <c r="B50" s="17" t="s">
        <v>330</v>
      </c>
      <c r="C50" s="17" t="s">
        <v>17</v>
      </c>
      <c r="D50" s="25" t="s">
        <v>343</v>
      </c>
      <c r="E50" s="17" t="s">
        <v>120</v>
      </c>
      <c r="F50" s="17" t="s">
        <v>344</v>
      </c>
      <c r="G50" s="17" t="s">
        <v>122</v>
      </c>
      <c r="H50" s="25" t="s">
        <v>345</v>
      </c>
      <c r="I50" s="17" t="s">
        <v>346</v>
      </c>
      <c r="J50" s="17" t="s">
        <v>105</v>
      </c>
      <c r="K50" s="17" t="s">
        <v>105</v>
      </c>
      <c r="L50" s="17" t="s">
        <v>7</v>
      </c>
      <c r="M50" s="17" t="s">
        <v>106</v>
      </c>
      <c r="N50" s="17" t="s">
        <v>193</v>
      </c>
      <c r="O50" s="17" t="s">
        <v>347</v>
      </c>
      <c r="P50" s="17" t="str">
        <f t="shared" si="1"/>
        <v>Yes</v>
      </c>
    </row>
    <row r="51" spans="1:16" ht="25.5" hidden="1">
      <c r="A51" s="17" t="s">
        <v>348</v>
      </c>
      <c r="B51" s="17" t="s">
        <v>330</v>
      </c>
      <c r="C51" s="17" t="s">
        <v>17</v>
      </c>
      <c r="D51" s="25" t="s">
        <v>349</v>
      </c>
      <c r="E51" s="17" t="s">
        <v>100</v>
      </c>
      <c r="F51" s="17" t="s">
        <v>350</v>
      </c>
      <c r="G51" s="17" t="s">
        <v>131</v>
      </c>
      <c r="H51" s="25" t="s">
        <v>351</v>
      </c>
      <c r="I51" s="17" t="s">
        <v>352</v>
      </c>
      <c r="J51" s="17" t="s">
        <v>105</v>
      </c>
      <c r="K51" s="17" t="s">
        <v>105</v>
      </c>
      <c r="L51" s="17" t="s">
        <v>11</v>
      </c>
      <c r="M51" s="17" t="s">
        <v>115</v>
      </c>
      <c r="N51" s="17" t="s">
        <v>199</v>
      </c>
      <c r="O51" s="17" t="s">
        <v>353</v>
      </c>
      <c r="P51" s="17" t="str">
        <f t="shared" si="1"/>
        <v>Yes</v>
      </c>
    </row>
    <row r="52" spans="1:16" ht="25.5" hidden="1">
      <c r="A52" s="17" t="s">
        <v>354</v>
      </c>
      <c r="B52" s="17" t="s">
        <v>330</v>
      </c>
      <c r="C52" s="17" t="s">
        <v>17</v>
      </c>
      <c r="D52" s="25" t="s">
        <v>355</v>
      </c>
      <c r="E52" s="17" t="s">
        <v>100</v>
      </c>
      <c r="F52" s="17" t="s">
        <v>356</v>
      </c>
      <c r="G52" s="17" t="s">
        <v>102</v>
      </c>
      <c r="H52" s="25" t="s">
        <v>357</v>
      </c>
      <c r="I52" s="17" t="s">
        <v>358</v>
      </c>
      <c r="J52" s="17" t="s">
        <v>105</v>
      </c>
      <c r="K52" s="17" t="s">
        <v>105</v>
      </c>
      <c r="L52" s="17" t="s">
        <v>7</v>
      </c>
      <c r="M52" s="17" t="s">
        <v>125</v>
      </c>
      <c r="N52" s="17" t="s">
        <v>205</v>
      </c>
      <c r="O52" s="17" t="s">
        <v>359</v>
      </c>
      <c r="P52" s="17" t="str">
        <f t="shared" si="1"/>
        <v>Yes</v>
      </c>
    </row>
    <row r="53" spans="1:16" ht="25.5" hidden="1">
      <c r="A53" s="17" t="s">
        <v>360</v>
      </c>
      <c r="B53" s="17" t="s">
        <v>330</v>
      </c>
      <c r="C53" s="17" t="s">
        <v>17</v>
      </c>
      <c r="D53" s="25" t="s">
        <v>331</v>
      </c>
      <c r="E53" s="17" t="s">
        <v>120</v>
      </c>
      <c r="F53" s="17" t="s">
        <v>361</v>
      </c>
      <c r="G53" s="17" t="s">
        <v>112</v>
      </c>
      <c r="H53" s="25" t="s">
        <v>362</v>
      </c>
      <c r="I53" s="17" t="s">
        <v>363</v>
      </c>
      <c r="J53" s="17" t="s">
        <v>364</v>
      </c>
      <c r="K53" s="17" t="s">
        <v>105</v>
      </c>
      <c r="L53" s="17" t="s">
        <v>7</v>
      </c>
      <c r="M53" s="17" t="s">
        <v>134</v>
      </c>
      <c r="N53" s="17" t="s">
        <v>211</v>
      </c>
      <c r="O53" s="17" t="s">
        <v>365</v>
      </c>
      <c r="P53" s="17" t="str">
        <f t="shared" si="1"/>
        <v>Yes</v>
      </c>
    </row>
    <row r="54" spans="1:16" ht="25.5" hidden="1">
      <c r="A54" s="17" t="s">
        <v>366</v>
      </c>
      <c r="B54" s="17" t="s">
        <v>330</v>
      </c>
      <c r="C54" s="17" t="s">
        <v>17</v>
      </c>
      <c r="D54" s="25" t="s">
        <v>337</v>
      </c>
      <c r="E54" s="17" t="s">
        <v>100</v>
      </c>
      <c r="F54" s="17" t="s">
        <v>332</v>
      </c>
      <c r="G54" s="17" t="s">
        <v>122</v>
      </c>
      <c r="H54" s="25" t="s">
        <v>367</v>
      </c>
      <c r="I54" s="17" t="s">
        <v>368</v>
      </c>
      <c r="J54" s="17" t="s">
        <v>364</v>
      </c>
      <c r="K54" s="17" t="s">
        <v>105</v>
      </c>
      <c r="L54" s="17" t="s">
        <v>7</v>
      </c>
      <c r="M54" s="17" t="s">
        <v>142</v>
      </c>
      <c r="N54" s="17" t="s">
        <v>216</v>
      </c>
      <c r="O54" s="17" t="s">
        <v>369</v>
      </c>
      <c r="P54" s="17" t="str">
        <f t="shared" si="1"/>
        <v>Yes</v>
      </c>
    </row>
    <row r="55" spans="1:16" ht="25.5" hidden="1">
      <c r="A55" s="17" t="s">
        <v>370</v>
      </c>
      <c r="B55" s="17" t="s">
        <v>330</v>
      </c>
      <c r="C55" s="17" t="s">
        <v>17</v>
      </c>
      <c r="D55" s="25" t="s">
        <v>343</v>
      </c>
      <c r="E55" s="17" t="s">
        <v>100</v>
      </c>
      <c r="F55" s="17" t="s">
        <v>338</v>
      </c>
      <c r="G55" s="17" t="s">
        <v>131</v>
      </c>
      <c r="H55" s="25" t="s">
        <v>371</v>
      </c>
      <c r="I55" s="17" t="s">
        <v>372</v>
      </c>
      <c r="J55" s="17" t="s">
        <v>364</v>
      </c>
      <c r="K55" s="17" t="s">
        <v>105</v>
      </c>
      <c r="L55" s="17" t="s">
        <v>7</v>
      </c>
      <c r="M55" s="17" t="s">
        <v>150</v>
      </c>
      <c r="N55" s="17" t="s">
        <v>221</v>
      </c>
      <c r="O55" s="17" t="s">
        <v>373</v>
      </c>
      <c r="P55" s="17" t="str">
        <f t="shared" si="1"/>
        <v>Yes</v>
      </c>
    </row>
    <row r="56" spans="1:16" ht="25.5" hidden="1">
      <c r="A56" s="17" t="s">
        <v>374</v>
      </c>
      <c r="B56" s="17" t="s">
        <v>330</v>
      </c>
      <c r="C56" s="17" t="s">
        <v>17</v>
      </c>
      <c r="D56" s="25" t="s">
        <v>349</v>
      </c>
      <c r="E56" s="17" t="s">
        <v>120</v>
      </c>
      <c r="F56" s="17" t="s">
        <v>344</v>
      </c>
      <c r="G56" s="17" t="s">
        <v>102</v>
      </c>
      <c r="H56" s="25" t="s">
        <v>375</v>
      </c>
      <c r="I56" s="17" t="s">
        <v>376</v>
      </c>
      <c r="J56" s="17" t="s">
        <v>364</v>
      </c>
      <c r="K56" s="17" t="s">
        <v>105</v>
      </c>
      <c r="L56" s="17" t="s">
        <v>11</v>
      </c>
      <c r="M56" s="17" t="s">
        <v>156</v>
      </c>
      <c r="N56" s="17" t="s">
        <v>107</v>
      </c>
      <c r="O56" s="17" t="s">
        <v>377</v>
      </c>
      <c r="P56" s="17" t="str">
        <f t="shared" si="1"/>
        <v>Yes</v>
      </c>
    </row>
    <row r="57" spans="1:16" ht="25.5" hidden="1">
      <c r="A57" s="17" t="s">
        <v>378</v>
      </c>
      <c r="B57" s="17" t="s">
        <v>330</v>
      </c>
      <c r="C57" s="17" t="s">
        <v>17</v>
      </c>
      <c r="D57" s="25" t="s">
        <v>355</v>
      </c>
      <c r="E57" s="17" t="s">
        <v>100</v>
      </c>
      <c r="F57" s="17" t="s">
        <v>350</v>
      </c>
      <c r="G57" s="17" t="s">
        <v>112</v>
      </c>
      <c r="H57" s="25" t="s">
        <v>379</v>
      </c>
      <c r="I57" s="17" t="s">
        <v>380</v>
      </c>
      <c r="J57" s="17" t="s">
        <v>364</v>
      </c>
      <c r="K57" s="17" t="s">
        <v>105</v>
      </c>
      <c r="L57" s="17" t="s">
        <v>7</v>
      </c>
      <c r="M57" s="17" t="s">
        <v>162</v>
      </c>
      <c r="N57" s="17" t="s">
        <v>116</v>
      </c>
      <c r="O57" s="17" t="s">
        <v>381</v>
      </c>
      <c r="P57" s="17" t="str">
        <f t="shared" si="1"/>
        <v>Yes</v>
      </c>
    </row>
    <row r="58" spans="1:16" ht="25.5" hidden="1">
      <c r="A58" s="17" t="s">
        <v>382</v>
      </c>
      <c r="B58" s="17" t="s">
        <v>330</v>
      </c>
      <c r="C58" s="17" t="s">
        <v>17</v>
      </c>
      <c r="D58" s="25" t="s">
        <v>331</v>
      </c>
      <c r="E58" s="17" t="s">
        <v>100</v>
      </c>
      <c r="F58" s="17" t="s">
        <v>356</v>
      </c>
      <c r="G58" s="17" t="s">
        <v>122</v>
      </c>
      <c r="H58" s="25" t="s">
        <v>383</v>
      </c>
      <c r="I58" s="17" t="s">
        <v>384</v>
      </c>
      <c r="J58" s="17" t="s">
        <v>364</v>
      </c>
      <c r="K58" s="17" t="s">
        <v>105</v>
      </c>
      <c r="L58" s="17" t="s">
        <v>7</v>
      </c>
      <c r="M58" s="17" t="s">
        <v>168</v>
      </c>
      <c r="N58" s="17" t="s">
        <v>126</v>
      </c>
      <c r="O58" s="17" t="s">
        <v>385</v>
      </c>
      <c r="P58" s="17" t="str">
        <f t="shared" si="1"/>
        <v>Yes</v>
      </c>
    </row>
    <row r="59" spans="1:16" ht="25.5" hidden="1">
      <c r="A59" s="17" t="s">
        <v>386</v>
      </c>
      <c r="B59" s="17" t="s">
        <v>330</v>
      </c>
      <c r="C59" s="17" t="s">
        <v>17</v>
      </c>
      <c r="D59" s="25" t="s">
        <v>337</v>
      </c>
      <c r="E59" s="17" t="s">
        <v>120</v>
      </c>
      <c r="F59" s="17" t="s">
        <v>361</v>
      </c>
      <c r="G59" s="17" t="s">
        <v>131</v>
      </c>
      <c r="H59" s="25" t="s">
        <v>387</v>
      </c>
      <c r="I59" s="17" t="s">
        <v>388</v>
      </c>
      <c r="J59" s="17" t="s">
        <v>364</v>
      </c>
      <c r="K59" s="17" t="s">
        <v>105</v>
      </c>
      <c r="L59" s="17" t="s">
        <v>7</v>
      </c>
      <c r="M59" s="17" t="s">
        <v>174</v>
      </c>
      <c r="N59" s="17" t="s">
        <v>135</v>
      </c>
      <c r="O59" s="17" t="s">
        <v>389</v>
      </c>
      <c r="P59" s="17" t="str">
        <f t="shared" si="1"/>
        <v>Yes</v>
      </c>
    </row>
    <row r="60" spans="1:16" ht="25.5" hidden="1">
      <c r="A60" s="17" t="s">
        <v>390</v>
      </c>
      <c r="B60" s="17" t="s">
        <v>330</v>
      </c>
      <c r="C60" s="17" t="s">
        <v>17</v>
      </c>
      <c r="D60" s="25" t="s">
        <v>343</v>
      </c>
      <c r="E60" s="17" t="s">
        <v>100</v>
      </c>
      <c r="F60" s="17" t="s">
        <v>332</v>
      </c>
      <c r="G60" s="17" t="s">
        <v>102</v>
      </c>
      <c r="H60" s="25" t="s">
        <v>391</v>
      </c>
      <c r="I60" s="17" t="s">
        <v>392</v>
      </c>
      <c r="J60" s="17" t="s">
        <v>364</v>
      </c>
      <c r="K60" s="17" t="s">
        <v>105</v>
      </c>
      <c r="L60" s="17" t="s">
        <v>7</v>
      </c>
      <c r="M60" s="17" t="s">
        <v>180</v>
      </c>
      <c r="N60" s="17" t="s">
        <v>143</v>
      </c>
      <c r="O60" s="17" t="s">
        <v>393</v>
      </c>
      <c r="P60" s="17" t="str">
        <f t="shared" si="1"/>
        <v>Yes</v>
      </c>
    </row>
    <row r="61" spans="1:16" ht="25.5" hidden="1">
      <c r="A61" s="17" t="s">
        <v>394</v>
      </c>
      <c r="B61" s="17" t="s">
        <v>330</v>
      </c>
      <c r="C61" s="17" t="s">
        <v>17</v>
      </c>
      <c r="D61" s="25" t="s">
        <v>349</v>
      </c>
      <c r="E61" s="17" t="s">
        <v>100</v>
      </c>
      <c r="F61" s="17" t="s">
        <v>338</v>
      </c>
      <c r="G61" s="17" t="s">
        <v>112</v>
      </c>
      <c r="H61" s="25" t="s">
        <v>395</v>
      </c>
      <c r="I61" s="17" t="s">
        <v>396</v>
      </c>
      <c r="J61" s="17" t="s">
        <v>364</v>
      </c>
      <c r="K61" s="17" t="s">
        <v>105</v>
      </c>
      <c r="L61" s="17" t="s">
        <v>11</v>
      </c>
      <c r="M61" s="17" t="s">
        <v>186</v>
      </c>
      <c r="N61" s="17" t="s">
        <v>151</v>
      </c>
      <c r="O61" s="17" t="s">
        <v>397</v>
      </c>
      <c r="P61" s="17" t="str">
        <f t="shared" si="1"/>
        <v>Yes</v>
      </c>
    </row>
    <row r="62" spans="1:16" ht="25.5" hidden="1">
      <c r="A62" s="17" t="s">
        <v>398</v>
      </c>
      <c r="B62" s="17" t="s">
        <v>330</v>
      </c>
      <c r="C62" s="17" t="s">
        <v>17</v>
      </c>
      <c r="D62" s="25" t="s">
        <v>355</v>
      </c>
      <c r="E62" s="17" t="s">
        <v>120</v>
      </c>
      <c r="F62" s="17" t="s">
        <v>344</v>
      </c>
      <c r="G62" s="17" t="s">
        <v>122</v>
      </c>
      <c r="H62" s="25" t="s">
        <v>399</v>
      </c>
      <c r="I62" s="17" t="s">
        <v>400</v>
      </c>
      <c r="J62" s="17" t="s">
        <v>364</v>
      </c>
      <c r="K62" s="17" t="s">
        <v>105</v>
      </c>
      <c r="L62" s="17" t="s">
        <v>7</v>
      </c>
      <c r="M62" s="17" t="s">
        <v>192</v>
      </c>
      <c r="N62" s="17" t="s">
        <v>157</v>
      </c>
      <c r="O62" s="17" t="s">
        <v>401</v>
      </c>
      <c r="P62" s="17" t="str">
        <f t="shared" si="1"/>
        <v>Yes</v>
      </c>
    </row>
    <row r="63" spans="1:16" ht="25.5" hidden="1">
      <c r="A63" s="17" t="s">
        <v>402</v>
      </c>
      <c r="B63" s="17" t="s">
        <v>330</v>
      </c>
      <c r="C63" s="17" t="s">
        <v>17</v>
      </c>
      <c r="D63" s="25" t="s">
        <v>331</v>
      </c>
      <c r="E63" s="17" t="s">
        <v>100</v>
      </c>
      <c r="F63" s="17" t="s">
        <v>350</v>
      </c>
      <c r="G63" s="17" t="s">
        <v>131</v>
      </c>
      <c r="H63" s="25" t="s">
        <v>403</v>
      </c>
      <c r="I63" s="17" t="s">
        <v>404</v>
      </c>
      <c r="J63" s="17" t="s">
        <v>364</v>
      </c>
      <c r="K63" s="17" t="s">
        <v>105</v>
      </c>
      <c r="L63" s="17" t="s">
        <v>7</v>
      </c>
      <c r="M63" s="17" t="s">
        <v>198</v>
      </c>
      <c r="N63" s="17" t="s">
        <v>163</v>
      </c>
      <c r="O63" s="17" t="s">
        <v>405</v>
      </c>
      <c r="P63" s="17" t="str">
        <f t="shared" si="1"/>
        <v>Yes</v>
      </c>
    </row>
    <row r="64" spans="1:16" ht="25.5" hidden="1">
      <c r="A64" s="17" t="s">
        <v>406</v>
      </c>
      <c r="B64" s="17" t="s">
        <v>330</v>
      </c>
      <c r="C64" s="17" t="s">
        <v>17</v>
      </c>
      <c r="D64" s="25" t="s">
        <v>337</v>
      </c>
      <c r="E64" s="17" t="s">
        <v>100</v>
      </c>
      <c r="F64" s="17" t="s">
        <v>356</v>
      </c>
      <c r="G64" s="17" t="s">
        <v>102</v>
      </c>
      <c r="H64" s="25" t="s">
        <v>407</v>
      </c>
      <c r="I64" s="17" t="s">
        <v>408</v>
      </c>
      <c r="J64" s="17" t="s">
        <v>364</v>
      </c>
      <c r="K64" s="17" t="s">
        <v>105</v>
      </c>
      <c r="L64" s="17" t="s">
        <v>7</v>
      </c>
      <c r="M64" s="17" t="s">
        <v>204</v>
      </c>
      <c r="N64" s="17" t="s">
        <v>169</v>
      </c>
      <c r="O64" s="17" t="s">
        <v>409</v>
      </c>
      <c r="P64" s="17" t="str">
        <f t="shared" si="1"/>
        <v>Yes</v>
      </c>
    </row>
    <row r="65" spans="1:16" ht="25.5" hidden="1">
      <c r="A65" s="17" t="s">
        <v>410</v>
      </c>
      <c r="B65" s="17" t="s">
        <v>330</v>
      </c>
      <c r="C65" s="17" t="s">
        <v>17</v>
      </c>
      <c r="D65" s="25" t="s">
        <v>343</v>
      </c>
      <c r="E65" s="17" t="s">
        <v>120</v>
      </c>
      <c r="F65" s="17" t="s">
        <v>361</v>
      </c>
      <c r="G65" s="17" t="s">
        <v>112</v>
      </c>
      <c r="H65" s="25" t="s">
        <v>411</v>
      </c>
      <c r="I65" s="17" t="s">
        <v>412</v>
      </c>
      <c r="J65" s="17" t="s">
        <v>364</v>
      </c>
      <c r="K65" s="17" t="s">
        <v>105</v>
      </c>
      <c r="L65" s="17" t="s">
        <v>7</v>
      </c>
      <c r="M65" s="17" t="s">
        <v>210</v>
      </c>
      <c r="N65" s="17" t="s">
        <v>175</v>
      </c>
      <c r="O65" s="17" t="s">
        <v>413</v>
      </c>
      <c r="P65" s="17" t="str">
        <f t="shared" si="1"/>
        <v>Yes</v>
      </c>
    </row>
    <row r="66" spans="1:16" ht="25.5" hidden="1">
      <c r="A66" s="17" t="s">
        <v>414</v>
      </c>
      <c r="B66" s="17" t="s">
        <v>330</v>
      </c>
      <c r="C66" s="17" t="s">
        <v>17</v>
      </c>
      <c r="D66" s="25" t="s">
        <v>349</v>
      </c>
      <c r="E66" s="17" t="s">
        <v>100</v>
      </c>
      <c r="F66" s="17" t="s">
        <v>332</v>
      </c>
      <c r="G66" s="17" t="s">
        <v>122</v>
      </c>
      <c r="H66" s="25" t="s">
        <v>415</v>
      </c>
      <c r="I66" s="17" t="s">
        <v>416</v>
      </c>
      <c r="J66" s="17" t="s">
        <v>364</v>
      </c>
      <c r="K66" s="17" t="s">
        <v>105</v>
      </c>
      <c r="L66" s="17" t="s">
        <v>11</v>
      </c>
      <c r="M66" s="17" t="s">
        <v>106</v>
      </c>
      <c r="N66" s="17" t="s">
        <v>181</v>
      </c>
      <c r="O66" s="17" t="s">
        <v>417</v>
      </c>
      <c r="P66" s="17" t="str">
        <f t="shared" ref="P66:P97" si="2">IF(L66&lt;&gt;"Complete","Yes","No")</f>
        <v>Yes</v>
      </c>
    </row>
    <row r="67" spans="1:16" ht="25.5" hidden="1">
      <c r="A67" s="17" t="s">
        <v>418</v>
      </c>
      <c r="B67" s="17" t="s">
        <v>330</v>
      </c>
      <c r="C67" s="17" t="s">
        <v>17</v>
      </c>
      <c r="D67" s="25" t="s">
        <v>355</v>
      </c>
      <c r="E67" s="17" t="s">
        <v>100</v>
      </c>
      <c r="F67" s="17" t="s">
        <v>338</v>
      </c>
      <c r="G67" s="17" t="s">
        <v>131</v>
      </c>
      <c r="H67" s="25" t="s">
        <v>419</v>
      </c>
      <c r="I67" s="17" t="s">
        <v>420</v>
      </c>
      <c r="J67" s="17" t="s">
        <v>364</v>
      </c>
      <c r="K67" s="17" t="s">
        <v>105</v>
      </c>
      <c r="L67" s="17" t="s">
        <v>7</v>
      </c>
      <c r="M67" s="17" t="s">
        <v>115</v>
      </c>
      <c r="N67" s="17" t="s">
        <v>187</v>
      </c>
      <c r="O67" s="17" t="s">
        <v>421</v>
      </c>
      <c r="P67" s="17" t="str">
        <f t="shared" si="2"/>
        <v>Yes</v>
      </c>
    </row>
    <row r="68" spans="1:16" ht="25.5" hidden="1">
      <c r="A68" s="17" t="s">
        <v>422</v>
      </c>
      <c r="B68" s="17" t="s">
        <v>330</v>
      </c>
      <c r="C68" s="17" t="s">
        <v>17</v>
      </c>
      <c r="D68" s="25" t="s">
        <v>331</v>
      </c>
      <c r="E68" s="17" t="s">
        <v>120</v>
      </c>
      <c r="F68" s="17" t="s">
        <v>344</v>
      </c>
      <c r="G68" s="17" t="s">
        <v>102</v>
      </c>
      <c r="H68" s="25" t="s">
        <v>423</v>
      </c>
      <c r="I68" s="17" t="s">
        <v>424</v>
      </c>
      <c r="J68" s="17" t="s">
        <v>364</v>
      </c>
      <c r="K68" s="17" t="s">
        <v>105</v>
      </c>
      <c r="L68" s="17" t="s">
        <v>7</v>
      </c>
      <c r="M68" s="17" t="s">
        <v>125</v>
      </c>
      <c r="N68" s="17" t="s">
        <v>193</v>
      </c>
      <c r="O68" s="17" t="s">
        <v>425</v>
      </c>
      <c r="P68" s="17" t="str">
        <f t="shared" si="2"/>
        <v>Yes</v>
      </c>
    </row>
    <row r="69" spans="1:16" ht="25.5" hidden="1">
      <c r="A69" s="17" t="s">
        <v>426</v>
      </c>
      <c r="B69" s="17" t="s">
        <v>330</v>
      </c>
      <c r="C69" s="17" t="s">
        <v>17</v>
      </c>
      <c r="D69" s="25" t="s">
        <v>337</v>
      </c>
      <c r="E69" s="17" t="s">
        <v>100</v>
      </c>
      <c r="F69" s="17" t="s">
        <v>350</v>
      </c>
      <c r="G69" s="17" t="s">
        <v>112</v>
      </c>
      <c r="H69" s="25" t="s">
        <v>427</v>
      </c>
      <c r="I69" s="17" t="s">
        <v>428</v>
      </c>
      <c r="J69" s="17" t="s">
        <v>364</v>
      </c>
      <c r="K69" s="17" t="s">
        <v>105</v>
      </c>
      <c r="L69" s="17" t="s">
        <v>7</v>
      </c>
      <c r="M69" s="17" t="s">
        <v>134</v>
      </c>
      <c r="N69" s="17" t="s">
        <v>199</v>
      </c>
      <c r="O69" s="17" t="s">
        <v>429</v>
      </c>
      <c r="P69" s="17" t="str">
        <f t="shared" si="2"/>
        <v>Yes</v>
      </c>
    </row>
    <row r="70" spans="1:16" ht="25.5" hidden="1">
      <c r="A70" s="17" t="s">
        <v>430</v>
      </c>
      <c r="B70" s="17" t="s">
        <v>330</v>
      </c>
      <c r="C70" s="17" t="s">
        <v>17</v>
      </c>
      <c r="D70" s="25" t="s">
        <v>343</v>
      </c>
      <c r="E70" s="17" t="s">
        <v>100</v>
      </c>
      <c r="F70" s="17" t="s">
        <v>356</v>
      </c>
      <c r="G70" s="17" t="s">
        <v>122</v>
      </c>
      <c r="H70" s="25" t="s">
        <v>431</v>
      </c>
      <c r="I70" s="17" t="s">
        <v>432</v>
      </c>
      <c r="J70" s="17" t="s">
        <v>364</v>
      </c>
      <c r="K70" s="17" t="s">
        <v>105</v>
      </c>
      <c r="L70" s="17" t="s">
        <v>7</v>
      </c>
      <c r="M70" s="17" t="s">
        <v>142</v>
      </c>
      <c r="N70" s="17" t="s">
        <v>205</v>
      </c>
      <c r="O70" s="17" t="s">
        <v>433</v>
      </c>
      <c r="P70" s="17" t="str">
        <f t="shared" si="2"/>
        <v>Yes</v>
      </c>
    </row>
    <row r="71" spans="1:16" ht="25.5" hidden="1">
      <c r="A71" s="17" t="s">
        <v>434</v>
      </c>
      <c r="B71" s="17" t="s">
        <v>435</v>
      </c>
      <c r="C71" s="17" t="s">
        <v>17</v>
      </c>
      <c r="D71" s="25" t="s">
        <v>436</v>
      </c>
      <c r="E71" s="17" t="s">
        <v>100</v>
      </c>
      <c r="F71" s="17" t="s">
        <v>437</v>
      </c>
      <c r="G71" s="17" t="s">
        <v>102</v>
      </c>
      <c r="H71" s="25" t="s">
        <v>438</v>
      </c>
      <c r="I71" s="17" t="s">
        <v>439</v>
      </c>
      <c r="J71" s="17" t="s">
        <v>105</v>
      </c>
      <c r="K71" s="17" t="s">
        <v>105</v>
      </c>
      <c r="L71" s="17" t="s">
        <v>11</v>
      </c>
      <c r="M71" s="17" t="s">
        <v>150</v>
      </c>
      <c r="N71" s="17" t="s">
        <v>211</v>
      </c>
      <c r="O71" s="17" t="s">
        <v>440</v>
      </c>
      <c r="P71" s="17" t="str">
        <f t="shared" si="2"/>
        <v>Yes</v>
      </c>
    </row>
    <row r="72" spans="1:16" ht="25.5" hidden="1">
      <c r="A72" s="17" t="s">
        <v>441</v>
      </c>
      <c r="B72" s="17" t="s">
        <v>435</v>
      </c>
      <c r="C72" s="17" t="s">
        <v>17</v>
      </c>
      <c r="D72" s="25" t="s">
        <v>442</v>
      </c>
      <c r="E72" s="17" t="s">
        <v>100</v>
      </c>
      <c r="F72" s="17" t="s">
        <v>443</v>
      </c>
      <c r="G72" s="17" t="s">
        <v>112</v>
      </c>
      <c r="H72" s="25" t="s">
        <v>444</v>
      </c>
      <c r="I72" s="17" t="s">
        <v>445</v>
      </c>
      <c r="J72" s="17" t="s">
        <v>105</v>
      </c>
      <c r="K72" s="17" t="s">
        <v>105</v>
      </c>
      <c r="L72" s="17" t="s">
        <v>7</v>
      </c>
      <c r="M72" s="17" t="s">
        <v>156</v>
      </c>
      <c r="N72" s="17" t="s">
        <v>216</v>
      </c>
      <c r="O72" s="17" t="s">
        <v>446</v>
      </c>
      <c r="P72" s="17" t="str">
        <f t="shared" si="2"/>
        <v>Yes</v>
      </c>
    </row>
    <row r="73" spans="1:16" ht="25.5" hidden="1">
      <c r="A73" s="17" t="s">
        <v>447</v>
      </c>
      <c r="B73" s="17" t="s">
        <v>435</v>
      </c>
      <c r="C73" s="17" t="s">
        <v>17</v>
      </c>
      <c r="D73" s="25" t="s">
        <v>448</v>
      </c>
      <c r="E73" s="17" t="s">
        <v>120</v>
      </c>
      <c r="F73" s="17" t="s">
        <v>449</v>
      </c>
      <c r="G73" s="17" t="s">
        <v>122</v>
      </c>
      <c r="H73" s="25" t="s">
        <v>450</v>
      </c>
      <c r="I73" s="17" t="s">
        <v>451</v>
      </c>
      <c r="J73" s="17" t="s">
        <v>105</v>
      </c>
      <c r="K73" s="17" t="s">
        <v>105</v>
      </c>
      <c r="L73" s="17" t="s">
        <v>7</v>
      </c>
      <c r="M73" s="17" t="s">
        <v>162</v>
      </c>
      <c r="N73" s="17" t="s">
        <v>221</v>
      </c>
      <c r="O73" s="17" t="s">
        <v>452</v>
      </c>
      <c r="P73" s="17" t="str">
        <f t="shared" si="2"/>
        <v>Yes</v>
      </c>
    </row>
    <row r="74" spans="1:16" ht="25.5" hidden="1">
      <c r="A74" s="17" t="s">
        <v>453</v>
      </c>
      <c r="B74" s="17" t="s">
        <v>435</v>
      </c>
      <c r="C74" s="17" t="s">
        <v>17</v>
      </c>
      <c r="D74" s="25" t="s">
        <v>454</v>
      </c>
      <c r="E74" s="17" t="s">
        <v>100</v>
      </c>
      <c r="F74" s="17" t="s">
        <v>455</v>
      </c>
      <c r="G74" s="17" t="s">
        <v>131</v>
      </c>
      <c r="H74" s="25" t="s">
        <v>456</v>
      </c>
      <c r="I74" s="17" t="s">
        <v>457</v>
      </c>
      <c r="J74" s="17" t="s">
        <v>105</v>
      </c>
      <c r="K74" s="17" t="s">
        <v>105</v>
      </c>
      <c r="L74" s="17" t="s">
        <v>7</v>
      </c>
      <c r="M74" s="17" t="s">
        <v>168</v>
      </c>
      <c r="N74" s="17" t="s">
        <v>107</v>
      </c>
      <c r="O74" s="17" t="s">
        <v>458</v>
      </c>
      <c r="P74" s="17" t="str">
        <f t="shared" si="2"/>
        <v>Yes</v>
      </c>
    </row>
    <row r="75" spans="1:16" ht="25.5" hidden="1">
      <c r="A75" s="17" t="s">
        <v>459</v>
      </c>
      <c r="B75" s="17" t="s">
        <v>435</v>
      </c>
      <c r="C75" s="17" t="s">
        <v>17</v>
      </c>
      <c r="D75" s="25" t="s">
        <v>460</v>
      </c>
      <c r="E75" s="17" t="s">
        <v>100</v>
      </c>
      <c r="F75" s="17" t="s">
        <v>461</v>
      </c>
      <c r="G75" s="17" t="s">
        <v>102</v>
      </c>
      <c r="H75" s="25" t="s">
        <v>462</v>
      </c>
      <c r="I75" s="17" t="s">
        <v>463</v>
      </c>
      <c r="J75" s="17" t="s">
        <v>105</v>
      </c>
      <c r="K75" s="17" t="s">
        <v>105</v>
      </c>
      <c r="L75" s="17" t="s">
        <v>7</v>
      </c>
      <c r="M75" s="17" t="s">
        <v>174</v>
      </c>
      <c r="N75" s="17" t="s">
        <v>116</v>
      </c>
      <c r="O75" s="17" t="s">
        <v>464</v>
      </c>
      <c r="P75" s="17" t="str">
        <f t="shared" si="2"/>
        <v>Yes</v>
      </c>
    </row>
    <row r="76" spans="1:16" ht="25.5" hidden="1">
      <c r="A76" s="17" t="s">
        <v>465</v>
      </c>
      <c r="B76" s="17" t="s">
        <v>435</v>
      </c>
      <c r="C76" s="17" t="s">
        <v>17</v>
      </c>
      <c r="D76" s="25" t="s">
        <v>436</v>
      </c>
      <c r="E76" s="17" t="s">
        <v>120</v>
      </c>
      <c r="F76" s="17" t="s">
        <v>466</v>
      </c>
      <c r="G76" s="17" t="s">
        <v>112</v>
      </c>
      <c r="H76" s="25" t="s">
        <v>467</v>
      </c>
      <c r="I76" s="17" t="s">
        <v>468</v>
      </c>
      <c r="J76" s="17" t="s">
        <v>364</v>
      </c>
      <c r="K76" s="17" t="s">
        <v>105</v>
      </c>
      <c r="L76" s="17" t="s">
        <v>11</v>
      </c>
      <c r="M76" s="17" t="s">
        <v>180</v>
      </c>
      <c r="N76" s="17" t="s">
        <v>126</v>
      </c>
      <c r="O76" s="17" t="s">
        <v>469</v>
      </c>
      <c r="P76" s="17" t="str">
        <f t="shared" si="2"/>
        <v>Yes</v>
      </c>
    </row>
    <row r="77" spans="1:16" ht="25.5" hidden="1">
      <c r="A77" s="17" t="s">
        <v>470</v>
      </c>
      <c r="B77" s="17" t="s">
        <v>435</v>
      </c>
      <c r="C77" s="17" t="s">
        <v>17</v>
      </c>
      <c r="D77" s="25" t="s">
        <v>442</v>
      </c>
      <c r="E77" s="17" t="s">
        <v>100</v>
      </c>
      <c r="F77" s="17" t="s">
        <v>437</v>
      </c>
      <c r="G77" s="17" t="s">
        <v>122</v>
      </c>
      <c r="H77" s="25" t="s">
        <v>471</v>
      </c>
      <c r="I77" s="17" t="s">
        <v>472</v>
      </c>
      <c r="J77" s="17" t="s">
        <v>364</v>
      </c>
      <c r="K77" s="17" t="s">
        <v>105</v>
      </c>
      <c r="L77" s="17" t="s">
        <v>7</v>
      </c>
      <c r="M77" s="17" t="s">
        <v>186</v>
      </c>
      <c r="N77" s="17" t="s">
        <v>135</v>
      </c>
      <c r="O77" s="17" t="s">
        <v>473</v>
      </c>
      <c r="P77" s="17" t="str">
        <f t="shared" si="2"/>
        <v>Yes</v>
      </c>
    </row>
    <row r="78" spans="1:16" ht="25.5" hidden="1">
      <c r="A78" s="17" t="s">
        <v>474</v>
      </c>
      <c r="B78" s="17" t="s">
        <v>435</v>
      </c>
      <c r="C78" s="17" t="s">
        <v>17</v>
      </c>
      <c r="D78" s="25" t="s">
        <v>448</v>
      </c>
      <c r="E78" s="17" t="s">
        <v>100</v>
      </c>
      <c r="F78" s="17" t="s">
        <v>443</v>
      </c>
      <c r="G78" s="17" t="s">
        <v>131</v>
      </c>
      <c r="H78" s="25" t="s">
        <v>475</v>
      </c>
      <c r="I78" s="17" t="s">
        <v>476</v>
      </c>
      <c r="J78" s="17" t="s">
        <v>364</v>
      </c>
      <c r="K78" s="17" t="s">
        <v>105</v>
      </c>
      <c r="L78" s="17" t="s">
        <v>7</v>
      </c>
      <c r="M78" s="17" t="s">
        <v>192</v>
      </c>
      <c r="N78" s="17" t="s">
        <v>143</v>
      </c>
      <c r="O78" s="17" t="s">
        <v>477</v>
      </c>
      <c r="P78" s="17" t="str">
        <f t="shared" si="2"/>
        <v>Yes</v>
      </c>
    </row>
    <row r="79" spans="1:16" ht="25.5" hidden="1">
      <c r="A79" s="17" t="s">
        <v>478</v>
      </c>
      <c r="B79" s="17" t="s">
        <v>435</v>
      </c>
      <c r="C79" s="17" t="s">
        <v>17</v>
      </c>
      <c r="D79" s="25" t="s">
        <v>454</v>
      </c>
      <c r="E79" s="17" t="s">
        <v>120</v>
      </c>
      <c r="F79" s="17" t="s">
        <v>449</v>
      </c>
      <c r="G79" s="17" t="s">
        <v>102</v>
      </c>
      <c r="H79" s="25" t="s">
        <v>479</v>
      </c>
      <c r="I79" s="17" t="s">
        <v>480</v>
      </c>
      <c r="J79" s="17" t="s">
        <v>364</v>
      </c>
      <c r="K79" s="17" t="s">
        <v>105</v>
      </c>
      <c r="L79" s="17" t="s">
        <v>7</v>
      </c>
      <c r="M79" s="17" t="s">
        <v>198</v>
      </c>
      <c r="N79" s="17" t="s">
        <v>151</v>
      </c>
      <c r="O79" s="17" t="s">
        <v>481</v>
      </c>
      <c r="P79" s="17" t="str">
        <f t="shared" si="2"/>
        <v>Yes</v>
      </c>
    </row>
    <row r="80" spans="1:16" ht="25.5" hidden="1">
      <c r="A80" s="17" t="s">
        <v>482</v>
      </c>
      <c r="B80" s="17" t="s">
        <v>435</v>
      </c>
      <c r="C80" s="17" t="s">
        <v>17</v>
      </c>
      <c r="D80" s="25" t="s">
        <v>460</v>
      </c>
      <c r="E80" s="17" t="s">
        <v>100</v>
      </c>
      <c r="F80" s="17" t="s">
        <v>455</v>
      </c>
      <c r="G80" s="17" t="s">
        <v>112</v>
      </c>
      <c r="H80" s="25" t="s">
        <v>483</v>
      </c>
      <c r="I80" s="17" t="s">
        <v>484</v>
      </c>
      <c r="J80" s="17" t="s">
        <v>364</v>
      </c>
      <c r="K80" s="17" t="s">
        <v>105</v>
      </c>
      <c r="L80" s="17" t="s">
        <v>7</v>
      </c>
      <c r="M80" s="17" t="s">
        <v>204</v>
      </c>
      <c r="N80" s="17" t="s">
        <v>157</v>
      </c>
      <c r="O80" s="17" t="s">
        <v>485</v>
      </c>
      <c r="P80" s="17" t="str">
        <f t="shared" si="2"/>
        <v>Yes</v>
      </c>
    </row>
    <row r="81" spans="1:16" ht="25.5" hidden="1">
      <c r="A81" s="17" t="s">
        <v>486</v>
      </c>
      <c r="B81" s="17" t="s">
        <v>435</v>
      </c>
      <c r="C81" s="17" t="s">
        <v>17</v>
      </c>
      <c r="D81" s="25" t="s">
        <v>436</v>
      </c>
      <c r="E81" s="17" t="s">
        <v>100</v>
      </c>
      <c r="F81" s="17" t="s">
        <v>461</v>
      </c>
      <c r="G81" s="17" t="s">
        <v>122</v>
      </c>
      <c r="H81" s="25" t="s">
        <v>487</v>
      </c>
      <c r="I81" s="17" t="s">
        <v>488</v>
      </c>
      <c r="J81" s="17" t="s">
        <v>364</v>
      </c>
      <c r="K81" s="17" t="s">
        <v>105</v>
      </c>
      <c r="L81" s="17" t="s">
        <v>11</v>
      </c>
      <c r="M81" s="17" t="s">
        <v>210</v>
      </c>
      <c r="N81" s="17" t="s">
        <v>163</v>
      </c>
      <c r="O81" s="17" t="s">
        <v>489</v>
      </c>
      <c r="P81" s="17" t="str">
        <f t="shared" si="2"/>
        <v>Yes</v>
      </c>
    </row>
    <row r="82" spans="1:16" ht="25.5" hidden="1">
      <c r="A82" s="17" t="s">
        <v>490</v>
      </c>
      <c r="B82" s="17" t="s">
        <v>435</v>
      </c>
      <c r="C82" s="17" t="s">
        <v>17</v>
      </c>
      <c r="D82" s="25" t="s">
        <v>442</v>
      </c>
      <c r="E82" s="17" t="s">
        <v>120</v>
      </c>
      <c r="F82" s="17" t="s">
        <v>466</v>
      </c>
      <c r="G82" s="17" t="s">
        <v>131</v>
      </c>
      <c r="H82" s="25" t="s">
        <v>491</v>
      </c>
      <c r="I82" s="17" t="s">
        <v>492</v>
      </c>
      <c r="J82" s="17" t="s">
        <v>364</v>
      </c>
      <c r="K82" s="17" t="s">
        <v>105</v>
      </c>
      <c r="L82" s="17" t="s">
        <v>7</v>
      </c>
      <c r="M82" s="17" t="s">
        <v>106</v>
      </c>
      <c r="N82" s="17" t="s">
        <v>169</v>
      </c>
      <c r="O82" s="17" t="s">
        <v>493</v>
      </c>
      <c r="P82" s="17" t="str">
        <f t="shared" si="2"/>
        <v>Yes</v>
      </c>
    </row>
    <row r="83" spans="1:16" ht="25.5" hidden="1">
      <c r="A83" s="17" t="s">
        <v>494</v>
      </c>
      <c r="B83" s="17" t="s">
        <v>435</v>
      </c>
      <c r="C83" s="17" t="s">
        <v>17</v>
      </c>
      <c r="D83" s="25" t="s">
        <v>448</v>
      </c>
      <c r="E83" s="17" t="s">
        <v>100</v>
      </c>
      <c r="F83" s="17" t="s">
        <v>437</v>
      </c>
      <c r="G83" s="17" t="s">
        <v>102</v>
      </c>
      <c r="H83" s="25" t="s">
        <v>495</v>
      </c>
      <c r="I83" s="17" t="s">
        <v>496</v>
      </c>
      <c r="J83" s="17" t="s">
        <v>364</v>
      </c>
      <c r="K83" s="17" t="s">
        <v>105</v>
      </c>
      <c r="L83" s="17" t="s">
        <v>7</v>
      </c>
      <c r="M83" s="17" t="s">
        <v>115</v>
      </c>
      <c r="N83" s="17" t="s">
        <v>175</v>
      </c>
      <c r="O83" s="17" t="s">
        <v>497</v>
      </c>
      <c r="P83" s="17" t="str">
        <f t="shared" si="2"/>
        <v>Yes</v>
      </c>
    </row>
    <row r="84" spans="1:16" ht="25.5" hidden="1">
      <c r="A84" s="17" t="s">
        <v>498</v>
      </c>
      <c r="B84" s="17" t="s">
        <v>435</v>
      </c>
      <c r="C84" s="17" t="s">
        <v>17</v>
      </c>
      <c r="D84" s="25" t="s">
        <v>454</v>
      </c>
      <c r="E84" s="17" t="s">
        <v>100</v>
      </c>
      <c r="F84" s="17" t="s">
        <v>443</v>
      </c>
      <c r="G84" s="17" t="s">
        <v>112</v>
      </c>
      <c r="H84" s="25" t="s">
        <v>499</v>
      </c>
      <c r="I84" s="17" t="s">
        <v>500</v>
      </c>
      <c r="J84" s="17" t="s">
        <v>364</v>
      </c>
      <c r="K84" s="17" t="s">
        <v>105</v>
      </c>
      <c r="L84" s="17" t="s">
        <v>7</v>
      </c>
      <c r="M84" s="17" t="s">
        <v>125</v>
      </c>
      <c r="N84" s="17" t="s">
        <v>181</v>
      </c>
      <c r="O84" s="17" t="s">
        <v>501</v>
      </c>
      <c r="P84" s="17" t="str">
        <f t="shared" si="2"/>
        <v>Yes</v>
      </c>
    </row>
    <row r="85" spans="1:16" ht="25.5" hidden="1">
      <c r="A85" s="17" t="s">
        <v>502</v>
      </c>
      <c r="B85" s="17" t="s">
        <v>435</v>
      </c>
      <c r="C85" s="17" t="s">
        <v>17</v>
      </c>
      <c r="D85" s="25" t="s">
        <v>460</v>
      </c>
      <c r="E85" s="17" t="s">
        <v>120</v>
      </c>
      <c r="F85" s="17" t="s">
        <v>449</v>
      </c>
      <c r="G85" s="17" t="s">
        <v>122</v>
      </c>
      <c r="H85" s="25" t="s">
        <v>503</v>
      </c>
      <c r="I85" s="17" t="s">
        <v>504</v>
      </c>
      <c r="J85" s="17" t="s">
        <v>364</v>
      </c>
      <c r="K85" s="17" t="s">
        <v>105</v>
      </c>
      <c r="L85" s="17" t="s">
        <v>7</v>
      </c>
      <c r="M85" s="17" t="s">
        <v>134</v>
      </c>
      <c r="N85" s="17" t="s">
        <v>187</v>
      </c>
      <c r="O85" s="17" t="s">
        <v>505</v>
      </c>
      <c r="P85" s="17" t="str">
        <f t="shared" si="2"/>
        <v>Yes</v>
      </c>
    </row>
    <row r="86" spans="1:16" ht="25.5" hidden="1">
      <c r="A86" s="17" t="s">
        <v>506</v>
      </c>
      <c r="B86" s="17" t="s">
        <v>435</v>
      </c>
      <c r="C86" s="17" t="s">
        <v>17</v>
      </c>
      <c r="D86" s="25" t="s">
        <v>436</v>
      </c>
      <c r="E86" s="17" t="s">
        <v>100</v>
      </c>
      <c r="F86" s="17" t="s">
        <v>455</v>
      </c>
      <c r="G86" s="17" t="s">
        <v>131</v>
      </c>
      <c r="H86" s="25" t="s">
        <v>507</v>
      </c>
      <c r="I86" s="17" t="s">
        <v>508</v>
      </c>
      <c r="J86" s="17" t="s">
        <v>364</v>
      </c>
      <c r="K86" s="17" t="s">
        <v>105</v>
      </c>
      <c r="L86" s="17" t="s">
        <v>11</v>
      </c>
      <c r="M86" s="17" t="s">
        <v>142</v>
      </c>
      <c r="N86" s="17" t="s">
        <v>193</v>
      </c>
      <c r="O86" s="17" t="s">
        <v>509</v>
      </c>
      <c r="P86" s="17" t="str">
        <f t="shared" si="2"/>
        <v>Yes</v>
      </c>
    </row>
    <row r="87" spans="1:16" ht="25.5" hidden="1">
      <c r="A87" s="17" t="s">
        <v>510</v>
      </c>
      <c r="B87" s="17" t="s">
        <v>435</v>
      </c>
      <c r="C87" s="17" t="s">
        <v>17</v>
      </c>
      <c r="D87" s="25" t="s">
        <v>442</v>
      </c>
      <c r="E87" s="17" t="s">
        <v>100</v>
      </c>
      <c r="F87" s="17" t="s">
        <v>461</v>
      </c>
      <c r="G87" s="17" t="s">
        <v>102</v>
      </c>
      <c r="H87" s="25" t="s">
        <v>511</v>
      </c>
      <c r="I87" s="17" t="s">
        <v>512</v>
      </c>
      <c r="J87" s="17" t="s">
        <v>364</v>
      </c>
      <c r="K87" s="17" t="s">
        <v>105</v>
      </c>
      <c r="L87" s="17" t="s">
        <v>7</v>
      </c>
      <c r="M87" s="17" t="s">
        <v>150</v>
      </c>
      <c r="N87" s="17" t="s">
        <v>199</v>
      </c>
      <c r="O87" s="17" t="s">
        <v>513</v>
      </c>
      <c r="P87" s="17" t="str">
        <f t="shared" si="2"/>
        <v>Yes</v>
      </c>
    </row>
    <row r="88" spans="1:16" ht="25.5" hidden="1">
      <c r="A88" s="17" t="s">
        <v>514</v>
      </c>
      <c r="B88" s="17" t="s">
        <v>435</v>
      </c>
      <c r="C88" s="17" t="s">
        <v>17</v>
      </c>
      <c r="D88" s="25" t="s">
        <v>448</v>
      </c>
      <c r="E88" s="17" t="s">
        <v>120</v>
      </c>
      <c r="F88" s="17" t="s">
        <v>466</v>
      </c>
      <c r="G88" s="17" t="s">
        <v>112</v>
      </c>
      <c r="H88" s="25" t="s">
        <v>515</v>
      </c>
      <c r="I88" s="17" t="s">
        <v>516</v>
      </c>
      <c r="J88" s="17" t="s">
        <v>364</v>
      </c>
      <c r="K88" s="17" t="s">
        <v>105</v>
      </c>
      <c r="L88" s="17" t="s">
        <v>7</v>
      </c>
      <c r="M88" s="17" t="s">
        <v>156</v>
      </c>
      <c r="N88" s="17" t="s">
        <v>205</v>
      </c>
      <c r="O88" s="17" t="s">
        <v>517</v>
      </c>
      <c r="P88" s="17" t="str">
        <f t="shared" si="2"/>
        <v>Yes</v>
      </c>
    </row>
    <row r="89" spans="1:16" ht="25.5" hidden="1">
      <c r="A89" s="17" t="s">
        <v>518</v>
      </c>
      <c r="B89" s="17" t="s">
        <v>435</v>
      </c>
      <c r="C89" s="17" t="s">
        <v>17</v>
      </c>
      <c r="D89" s="25" t="s">
        <v>454</v>
      </c>
      <c r="E89" s="17" t="s">
        <v>100</v>
      </c>
      <c r="F89" s="17" t="s">
        <v>437</v>
      </c>
      <c r="G89" s="17" t="s">
        <v>122</v>
      </c>
      <c r="H89" s="25" t="s">
        <v>519</v>
      </c>
      <c r="I89" s="17" t="s">
        <v>520</v>
      </c>
      <c r="J89" s="17" t="s">
        <v>364</v>
      </c>
      <c r="K89" s="17" t="s">
        <v>105</v>
      </c>
      <c r="L89" s="17" t="s">
        <v>7</v>
      </c>
      <c r="M89" s="17" t="s">
        <v>162</v>
      </c>
      <c r="N89" s="17" t="s">
        <v>211</v>
      </c>
      <c r="O89" s="17" t="s">
        <v>521</v>
      </c>
      <c r="P89" s="17" t="str">
        <f t="shared" si="2"/>
        <v>Yes</v>
      </c>
    </row>
    <row r="90" spans="1:16" ht="25.5" hidden="1">
      <c r="A90" s="17" t="s">
        <v>522</v>
      </c>
      <c r="B90" s="17" t="s">
        <v>435</v>
      </c>
      <c r="C90" s="17" t="s">
        <v>17</v>
      </c>
      <c r="D90" s="25" t="s">
        <v>460</v>
      </c>
      <c r="E90" s="17" t="s">
        <v>100</v>
      </c>
      <c r="F90" s="17" t="s">
        <v>443</v>
      </c>
      <c r="G90" s="17" t="s">
        <v>131</v>
      </c>
      <c r="H90" s="25" t="s">
        <v>523</v>
      </c>
      <c r="I90" s="17" t="s">
        <v>524</v>
      </c>
      <c r="J90" s="17" t="s">
        <v>364</v>
      </c>
      <c r="K90" s="17" t="s">
        <v>105</v>
      </c>
      <c r="L90" s="17" t="s">
        <v>7</v>
      </c>
      <c r="M90" s="17" t="s">
        <v>168</v>
      </c>
      <c r="N90" s="17" t="s">
        <v>216</v>
      </c>
      <c r="O90" s="17" t="s">
        <v>525</v>
      </c>
      <c r="P90" s="17" t="str">
        <f t="shared" si="2"/>
        <v>Yes</v>
      </c>
    </row>
    <row r="91" spans="1:16" ht="25.5" hidden="1">
      <c r="A91" s="17" t="s">
        <v>526</v>
      </c>
      <c r="B91" s="17" t="s">
        <v>435</v>
      </c>
      <c r="C91" s="17" t="s">
        <v>17</v>
      </c>
      <c r="D91" s="25" t="s">
        <v>436</v>
      </c>
      <c r="E91" s="17" t="s">
        <v>120</v>
      </c>
      <c r="F91" s="17" t="s">
        <v>449</v>
      </c>
      <c r="G91" s="17" t="s">
        <v>102</v>
      </c>
      <c r="H91" s="25" t="s">
        <v>527</v>
      </c>
      <c r="I91" s="17" t="s">
        <v>528</v>
      </c>
      <c r="J91" s="17" t="s">
        <v>364</v>
      </c>
      <c r="K91" s="17" t="s">
        <v>105</v>
      </c>
      <c r="L91" s="17" t="s">
        <v>11</v>
      </c>
      <c r="M91" s="17" t="s">
        <v>174</v>
      </c>
      <c r="N91" s="17" t="s">
        <v>221</v>
      </c>
      <c r="O91" s="17" t="s">
        <v>529</v>
      </c>
      <c r="P91" s="17" t="str">
        <f t="shared" si="2"/>
        <v>Yes</v>
      </c>
    </row>
    <row r="92" spans="1:16" ht="25.5" hidden="1">
      <c r="A92" s="17" t="s">
        <v>530</v>
      </c>
      <c r="B92" s="17" t="s">
        <v>435</v>
      </c>
      <c r="C92" s="17" t="s">
        <v>17</v>
      </c>
      <c r="D92" s="25" t="s">
        <v>442</v>
      </c>
      <c r="E92" s="17" t="s">
        <v>100</v>
      </c>
      <c r="F92" s="17" t="s">
        <v>455</v>
      </c>
      <c r="G92" s="17" t="s">
        <v>112</v>
      </c>
      <c r="H92" s="25" t="s">
        <v>531</v>
      </c>
      <c r="I92" s="17" t="s">
        <v>532</v>
      </c>
      <c r="J92" s="17" t="s">
        <v>364</v>
      </c>
      <c r="K92" s="17" t="s">
        <v>105</v>
      </c>
      <c r="L92" s="17" t="s">
        <v>7</v>
      </c>
      <c r="M92" s="17" t="s">
        <v>180</v>
      </c>
      <c r="N92" s="17" t="s">
        <v>107</v>
      </c>
      <c r="O92" s="17" t="s">
        <v>533</v>
      </c>
      <c r="P92" s="17" t="str">
        <f t="shared" si="2"/>
        <v>Yes</v>
      </c>
    </row>
    <row r="93" spans="1:16" ht="25.5">
      <c r="A93" s="17" t="s">
        <v>534</v>
      </c>
      <c r="B93" s="17" t="s">
        <v>535</v>
      </c>
      <c r="C93" s="17" t="s">
        <v>20</v>
      </c>
      <c r="D93" s="25" t="s">
        <v>536</v>
      </c>
      <c r="E93" s="17" t="s">
        <v>537</v>
      </c>
      <c r="F93" s="17" t="s">
        <v>538</v>
      </c>
      <c r="G93" s="17" t="s">
        <v>102</v>
      </c>
      <c r="H93" s="25" t="s">
        <v>539</v>
      </c>
      <c r="I93" s="17" t="s">
        <v>540</v>
      </c>
      <c r="J93" s="17" t="s">
        <v>105</v>
      </c>
      <c r="K93" s="17" t="s">
        <v>105</v>
      </c>
      <c r="L93" s="17" t="s">
        <v>7</v>
      </c>
      <c r="M93" s="17" t="s">
        <v>186</v>
      </c>
      <c r="N93" s="17" t="s">
        <v>116</v>
      </c>
      <c r="O93" s="17" t="s">
        <v>541</v>
      </c>
      <c r="P93" s="17" t="str">
        <f t="shared" si="2"/>
        <v>Yes</v>
      </c>
    </row>
    <row r="94" spans="1:16" ht="25.5">
      <c r="A94" s="17" t="s">
        <v>542</v>
      </c>
      <c r="B94" s="17" t="s">
        <v>535</v>
      </c>
      <c r="C94" s="17" t="s">
        <v>20</v>
      </c>
      <c r="D94" s="25" t="s">
        <v>543</v>
      </c>
      <c r="E94" s="17" t="s">
        <v>537</v>
      </c>
      <c r="F94" s="17" t="s">
        <v>544</v>
      </c>
      <c r="G94" s="17" t="s">
        <v>112</v>
      </c>
      <c r="H94" s="25" t="s">
        <v>539</v>
      </c>
      <c r="I94" s="17" t="s">
        <v>545</v>
      </c>
      <c r="J94" s="17" t="s">
        <v>105</v>
      </c>
      <c r="K94" s="17" t="s">
        <v>105</v>
      </c>
      <c r="L94" s="17" t="s">
        <v>7</v>
      </c>
      <c r="M94" s="17" t="s">
        <v>192</v>
      </c>
      <c r="N94" s="17" t="s">
        <v>126</v>
      </c>
      <c r="O94" s="17" t="s">
        <v>546</v>
      </c>
      <c r="P94" s="17" t="str">
        <f t="shared" si="2"/>
        <v>Yes</v>
      </c>
    </row>
    <row r="95" spans="1:16" ht="25.5">
      <c r="A95" s="17" t="s">
        <v>547</v>
      </c>
      <c r="B95" s="17" t="s">
        <v>535</v>
      </c>
      <c r="C95" s="17" t="s">
        <v>20</v>
      </c>
      <c r="D95" s="25" t="s">
        <v>548</v>
      </c>
      <c r="E95" s="17" t="s">
        <v>537</v>
      </c>
      <c r="F95" s="17" t="s">
        <v>549</v>
      </c>
      <c r="G95" s="17" t="s">
        <v>122</v>
      </c>
      <c r="H95" s="25" t="s">
        <v>539</v>
      </c>
      <c r="I95" s="17" t="s">
        <v>550</v>
      </c>
      <c r="J95" s="17" t="s">
        <v>105</v>
      </c>
      <c r="K95" s="17" t="s">
        <v>105</v>
      </c>
      <c r="L95" s="17" t="s">
        <v>7</v>
      </c>
      <c r="M95" s="17" t="s">
        <v>198</v>
      </c>
      <c r="N95" s="17" t="s">
        <v>135</v>
      </c>
      <c r="O95" s="17" t="s">
        <v>551</v>
      </c>
      <c r="P95" s="17" t="str">
        <f t="shared" si="2"/>
        <v>Yes</v>
      </c>
    </row>
    <row r="96" spans="1:16" ht="25.5">
      <c r="A96" s="17" t="s">
        <v>552</v>
      </c>
      <c r="B96" s="17" t="s">
        <v>535</v>
      </c>
      <c r="C96" s="17" t="s">
        <v>20</v>
      </c>
      <c r="D96" s="25" t="s">
        <v>553</v>
      </c>
      <c r="E96" s="17" t="s">
        <v>537</v>
      </c>
      <c r="F96" s="17" t="s">
        <v>554</v>
      </c>
      <c r="G96" s="17" t="s">
        <v>131</v>
      </c>
      <c r="H96" s="25" t="s">
        <v>539</v>
      </c>
      <c r="I96" s="17" t="s">
        <v>555</v>
      </c>
      <c r="J96" s="17" t="s">
        <v>105</v>
      </c>
      <c r="K96" s="17" t="s">
        <v>105</v>
      </c>
      <c r="L96" s="17" t="s">
        <v>11</v>
      </c>
      <c r="M96" s="17" t="s">
        <v>204</v>
      </c>
      <c r="N96" s="17" t="s">
        <v>143</v>
      </c>
      <c r="O96" s="17" t="s">
        <v>556</v>
      </c>
      <c r="P96" s="17" t="str">
        <f t="shared" si="2"/>
        <v>Yes</v>
      </c>
    </row>
    <row r="97" spans="1:16" ht="25.5">
      <c r="A97" s="17" t="s">
        <v>557</v>
      </c>
      <c r="B97" s="17" t="s">
        <v>535</v>
      </c>
      <c r="C97" s="17" t="s">
        <v>20</v>
      </c>
      <c r="D97" s="25" t="s">
        <v>558</v>
      </c>
      <c r="E97" s="17" t="s">
        <v>537</v>
      </c>
      <c r="F97" s="17" t="s">
        <v>559</v>
      </c>
      <c r="G97" s="17" t="s">
        <v>102</v>
      </c>
      <c r="H97" s="25" t="s">
        <v>539</v>
      </c>
      <c r="I97" s="17" t="s">
        <v>560</v>
      </c>
      <c r="J97" s="17" t="s">
        <v>105</v>
      </c>
      <c r="K97" s="17" t="s">
        <v>105</v>
      </c>
      <c r="L97" s="17" t="s">
        <v>7</v>
      </c>
      <c r="M97" s="17" t="s">
        <v>210</v>
      </c>
      <c r="N97" s="17" t="s">
        <v>151</v>
      </c>
      <c r="O97" s="17" t="s">
        <v>561</v>
      </c>
      <c r="P97" s="17" t="str">
        <f t="shared" si="2"/>
        <v>Yes</v>
      </c>
    </row>
    <row r="98" spans="1:16" ht="25.5">
      <c r="A98" s="17" t="s">
        <v>562</v>
      </c>
      <c r="B98" s="17" t="s">
        <v>535</v>
      </c>
      <c r="C98" s="17" t="s">
        <v>20</v>
      </c>
      <c r="D98" s="25" t="s">
        <v>563</v>
      </c>
      <c r="E98" s="17" t="s">
        <v>537</v>
      </c>
      <c r="F98" s="17" t="s">
        <v>564</v>
      </c>
      <c r="G98" s="17" t="s">
        <v>112</v>
      </c>
      <c r="H98" s="25" t="s">
        <v>539</v>
      </c>
      <c r="I98" s="17" t="s">
        <v>565</v>
      </c>
      <c r="J98" s="17" t="s">
        <v>105</v>
      </c>
      <c r="K98" s="17" t="s">
        <v>105</v>
      </c>
      <c r="L98" s="17" t="s">
        <v>7</v>
      </c>
      <c r="M98" s="17" t="s">
        <v>106</v>
      </c>
      <c r="N98" s="17" t="s">
        <v>157</v>
      </c>
      <c r="O98" s="17" t="s">
        <v>566</v>
      </c>
      <c r="P98" s="17" t="str">
        <f t="shared" ref="P98:P129" si="3">IF(L98&lt;&gt;"Complete","Yes","No")</f>
        <v>Yes</v>
      </c>
    </row>
    <row r="99" spans="1:16" ht="25.5">
      <c r="A99" s="17" t="s">
        <v>567</v>
      </c>
      <c r="B99" s="17" t="s">
        <v>535</v>
      </c>
      <c r="C99" s="17" t="s">
        <v>20</v>
      </c>
      <c r="D99" s="25" t="s">
        <v>536</v>
      </c>
      <c r="E99" s="17" t="s">
        <v>537</v>
      </c>
      <c r="F99" s="17" t="s">
        <v>568</v>
      </c>
      <c r="G99" s="17" t="s">
        <v>122</v>
      </c>
      <c r="H99" s="25" t="s">
        <v>539</v>
      </c>
      <c r="I99" s="17" t="s">
        <v>569</v>
      </c>
      <c r="J99" s="17" t="s">
        <v>105</v>
      </c>
      <c r="K99" s="17" t="s">
        <v>105</v>
      </c>
      <c r="L99" s="17" t="s">
        <v>7</v>
      </c>
      <c r="M99" s="17" t="s">
        <v>115</v>
      </c>
      <c r="N99" s="17" t="s">
        <v>163</v>
      </c>
      <c r="O99" s="17" t="s">
        <v>570</v>
      </c>
      <c r="P99" s="17" t="str">
        <f t="shared" si="3"/>
        <v>Yes</v>
      </c>
    </row>
    <row r="100" spans="1:16" ht="25.5">
      <c r="A100" s="17" t="s">
        <v>571</v>
      </c>
      <c r="B100" s="17" t="s">
        <v>535</v>
      </c>
      <c r="C100" s="17" t="s">
        <v>20</v>
      </c>
      <c r="D100" s="25" t="s">
        <v>543</v>
      </c>
      <c r="E100" s="17" t="s">
        <v>537</v>
      </c>
      <c r="F100" s="17" t="s">
        <v>572</v>
      </c>
      <c r="G100" s="17" t="s">
        <v>131</v>
      </c>
      <c r="H100" s="25" t="s">
        <v>539</v>
      </c>
      <c r="I100" s="17" t="s">
        <v>573</v>
      </c>
      <c r="J100" s="17" t="s">
        <v>105</v>
      </c>
      <c r="K100" s="17" t="s">
        <v>105</v>
      </c>
      <c r="L100" s="17" t="s">
        <v>7</v>
      </c>
      <c r="M100" s="17" t="s">
        <v>125</v>
      </c>
      <c r="N100" s="17" t="s">
        <v>169</v>
      </c>
      <c r="O100" s="17" t="s">
        <v>574</v>
      </c>
      <c r="P100" s="17" t="str">
        <f t="shared" si="3"/>
        <v>Yes</v>
      </c>
    </row>
    <row r="101" spans="1:16" ht="25.5">
      <c r="A101" s="17" t="s">
        <v>575</v>
      </c>
      <c r="B101" s="17" t="s">
        <v>535</v>
      </c>
      <c r="C101" s="17" t="s">
        <v>20</v>
      </c>
      <c r="D101" s="25" t="s">
        <v>548</v>
      </c>
      <c r="E101" s="17" t="s">
        <v>120</v>
      </c>
      <c r="F101" s="17" t="s">
        <v>538</v>
      </c>
      <c r="G101" s="17" t="s">
        <v>102</v>
      </c>
      <c r="H101" s="25" t="s">
        <v>539</v>
      </c>
      <c r="I101" s="17" t="s">
        <v>576</v>
      </c>
      <c r="J101" s="17" t="s">
        <v>105</v>
      </c>
      <c r="K101" s="17" t="s">
        <v>105</v>
      </c>
      <c r="L101" s="17" t="s">
        <v>11</v>
      </c>
      <c r="M101" s="17" t="s">
        <v>134</v>
      </c>
      <c r="N101" s="17" t="s">
        <v>175</v>
      </c>
      <c r="O101" s="17" t="s">
        <v>577</v>
      </c>
      <c r="P101" s="17" t="str">
        <f t="shared" si="3"/>
        <v>Yes</v>
      </c>
    </row>
    <row r="102" spans="1:16" ht="25.5">
      <c r="A102" s="17" t="s">
        <v>578</v>
      </c>
      <c r="B102" s="17" t="s">
        <v>535</v>
      </c>
      <c r="C102" s="17" t="s">
        <v>20</v>
      </c>
      <c r="D102" s="25" t="s">
        <v>553</v>
      </c>
      <c r="E102" s="17" t="s">
        <v>100</v>
      </c>
      <c r="F102" s="17" t="s">
        <v>544</v>
      </c>
      <c r="G102" s="17" t="s">
        <v>112</v>
      </c>
      <c r="H102" s="25" t="s">
        <v>539</v>
      </c>
      <c r="I102" s="17" t="s">
        <v>579</v>
      </c>
      <c r="J102" s="17" t="s">
        <v>105</v>
      </c>
      <c r="K102" s="17" t="s">
        <v>105</v>
      </c>
      <c r="L102" s="17" t="s">
        <v>7</v>
      </c>
      <c r="M102" s="17" t="s">
        <v>142</v>
      </c>
      <c r="N102" s="17" t="s">
        <v>181</v>
      </c>
      <c r="O102" s="17" t="s">
        <v>580</v>
      </c>
      <c r="P102" s="17" t="str">
        <f t="shared" si="3"/>
        <v>Yes</v>
      </c>
    </row>
    <row r="103" spans="1:16" ht="25.5">
      <c r="A103" s="17" t="s">
        <v>581</v>
      </c>
      <c r="B103" s="17" t="s">
        <v>535</v>
      </c>
      <c r="C103" s="17" t="s">
        <v>20</v>
      </c>
      <c r="D103" s="25" t="s">
        <v>558</v>
      </c>
      <c r="E103" s="17" t="s">
        <v>100</v>
      </c>
      <c r="F103" s="17" t="s">
        <v>549</v>
      </c>
      <c r="G103" s="17" t="s">
        <v>122</v>
      </c>
      <c r="H103" s="25" t="s">
        <v>539</v>
      </c>
      <c r="I103" s="17" t="s">
        <v>582</v>
      </c>
      <c r="J103" s="17" t="s">
        <v>105</v>
      </c>
      <c r="K103" s="17" t="s">
        <v>105</v>
      </c>
      <c r="L103" s="17" t="s">
        <v>7</v>
      </c>
      <c r="M103" s="17" t="s">
        <v>150</v>
      </c>
      <c r="N103" s="17" t="s">
        <v>187</v>
      </c>
      <c r="O103" s="17" t="s">
        <v>583</v>
      </c>
      <c r="P103" s="17" t="str">
        <f t="shared" si="3"/>
        <v>Yes</v>
      </c>
    </row>
    <row r="104" spans="1:16" ht="25.5">
      <c r="A104" s="17" t="s">
        <v>584</v>
      </c>
      <c r="B104" s="17" t="s">
        <v>535</v>
      </c>
      <c r="C104" s="17" t="s">
        <v>20</v>
      </c>
      <c r="D104" s="25" t="s">
        <v>563</v>
      </c>
      <c r="E104" s="17" t="s">
        <v>120</v>
      </c>
      <c r="F104" s="17" t="s">
        <v>554</v>
      </c>
      <c r="G104" s="17" t="s">
        <v>131</v>
      </c>
      <c r="H104" s="25" t="s">
        <v>539</v>
      </c>
      <c r="I104" s="17" t="s">
        <v>585</v>
      </c>
      <c r="J104" s="17" t="s">
        <v>105</v>
      </c>
      <c r="K104" s="17" t="s">
        <v>105</v>
      </c>
      <c r="L104" s="17" t="s">
        <v>7</v>
      </c>
      <c r="M104" s="17" t="s">
        <v>156</v>
      </c>
      <c r="N104" s="17" t="s">
        <v>193</v>
      </c>
      <c r="O104" s="17" t="s">
        <v>586</v>
      </c>
      <c r="P104" s="17" t="str">
        <f t="shared" si="3"/>
        <v>Yes</v>
      </c>
    </row>
    <row r="105" spans="1:16" ht="25.5">
      <c r="A105" s="17" t="s">
        <v>587</v>
      </c>
      <c r="B105" s="17" t="s">
        <v>535</v>
      </c>
      <c r="C105" s="17" t="s">
        <v>20</v>
      </c>
      <c r="D105" s="25" t="s">
        <v>536</v>
      </c>
      <c r="E105" s="17" t="s">
        <v>100</v>
      </c>
      <c r="F105" s="17" t="s">
        <v>559</v>
      </c>
      <c r="G105" s="17" t="s">
        <v>102</v>
      </c>
      <c r="H105" s="25" t="s">
        <v>539</v>
      </c>
      <c r="I105" s="17" t="s">
        <v>588</v>
      </c>
      <c r="J105" s="17" t="s">
        <v>105</v>
      </c>
      <c r="K105" s="17" t="s">
        <v>105</v>
      </c>
      <c r="L105" s="17" t="s">
        <v>7</v>
      </c>
      <c r="M105" s="17" t="s">
        <v>162</v>
      </c>
      <c r="N105" s="17" t="s">
        <v>199</v>
      </c>
      <c r="O105" s="17" t="s">
        <v>589</v>
      </c>
      <c r="P105" s="17" t="str">
        <f t="shared" si="3"/>
        <v>Yes</v>
      </c>
    </row>
    <row r="106" spans="1:16" ht="25.5">
      <c r="A106" s="17" t="s">
        <v>590</v>
      </c>
      <c r="B106" s="17" t="s">
        <v>535</v>
      </c>
      <c r="C106" s="17" t="s">
        <v>20</v>
      </c>
      <c r="D106" s="25" t="s">
        <v>543</v>
      </c>
      <c r="E106" s="17" t="s">
        <v>100</v>
      </c>
      <c r="F106" s="17" t="s">
        <v>564</v>
      </c>
      <c r="G106" s="17" t="s">
        <v>112</v>
      </c>
      <c r="H106" s="25" t="s">
        <v>539</v>
      </c>
      <c r="I106" s="17" t="s">
        <v>591</v>
      </c>
      <c r="J106" s="17" t="s">
        <v>105</v>
      </c>
      <c r="K106" s="17" t="s">
        <v>105</v>
      </c>
      <c r="L106" s="17" t="s">
        <v>11</v>
      </c>
      <c r="M106" s="17" t="s">
        <v>168</v>
      </c>
      <c r="N106" s="17" t="s">
        <v>205</v>
      </c>
      <c r="O106" s="17" t="s">
        <v>592</v>
      </c>
      <c r="P106" s="17" t="str">
        <f t="shared" si="3"/>
        <v>Yes</v>
      </c>
    </row>
    <row r="107" spans="1:16" ht="25.5">
      <c r="A107" s="17" t="s">
        <v>593</v>
      </c>
      <c r="B107" s="17" t="s">
        <v>535</v>
      </c>
      <c r="C107" s="17" t="s">
        <v>20</v>
      </c>
      <c r="D107" s="25" t="s">
        <v>548</v>
      </c>
      <c r="E107" s="17" t="s">
        <v>120</v>
      </c>
      <c r="F107" s="17" t="s">
        <v>568</v>
      </c>
      <c r="G107" s="17" t="s">
        <v>122</v>
      </c>
      <c r="H107" s="25" t="s">
        <v>539</v>
      </c>
      <c r="I107" s="17" t="s">
        <v>594</v>
      </c>
      <c r="J107" s="17" t="s">
        <v>105</v>
      </c>
      <c r="K107" s="17" t="s">
        <v>105</v>
      </c>
      <c r="L107" s="17" t="s">
        <v>7</v>
      </c>
      <c r="M107" s="17" t="s">
        <v>174</v>
      </c>
      <c r="N107" s="17" t="s">
        <v>211</v>
      </c>
      <c r="O107" s="17" t="s">
        <v>595</v>
      </c>
      <c r="P107" s="17" t="str">
        <f t="shared" si="3"/>
        <v>Yes</v>
      </c>
    </row>
    <row r="108" spans="1:16" ht="25.5">
      <c r="A108" s="17" t="s">
        <v>596</v>
      </c>
      <c r="B108" s="17" t="s">
        <v>535</v>
      </c>
      <c r="C108" s="17" t="s">
        <v>20</v>
      </c>
      <c r="D108" s="25" t="s">
        <v>553</v>
      </c>
      <c r="E108" s="17" t="s">
        <v>100</v>
      </c>
      <c r="F108" s="17" t="s">
        <v>572</v>
      </c>
      <c r="G108" s="17" t="s">
        <v>131</v>
      </c>
      <c r="H108" s="25" t="s">
        <v>539</v>
      </c>
      <c r="I108" s="17" t="s">
        <v>597</v>
      </c>
      <c r="J108" s="17" t="s">
        <v>105</v>
      </c>
      <c r="K108" s="17" t="s">
        <v>105</v>
      </c>
      <c r="L108" s="17" t="s">
        <v>7</v>
      </c>
      <c r="M108" s="17" t="s">
        <v>180</v>
      </c>
      <c r="N108" s="17" t="s">
        <v>216</v>
      </c>
      <c r="O108" s="17" t="s">
        <v>598</v>
      </c>
      <c r="P108" s="17" t="str">
        <f t="shared" si="3"/>
        <v>Yes</v>
      </c>
    </row>
    <row r="109" spans="1:16" ht="25.5">
      <c r="A109" s="17" t="s">
        <v>599</v>
      </c>
      <c r="B109" s="17" t="s">
        <v>535</v>
      </c>
      <c r="C109" s="17" t="s">
        <v>20</v>
      </c>
      <c r="D109" s="25" t="s">
        <v>558</v>
      </c>
      <c r="E109" s="17" t="s">
        <v>100</v>
      </c>
      <c r="F109" s="17" t="s">
        <v>538</v>
      </c>
      <c r="G109" s="17" t="s">
        <v>102</v>
      </c>
      <c r="H109" s="25" t="s">
        <v>539</v>
      </c>
      <c r="I109" s="17" t="s">
        <v>600</v>
      </c>
      <c r="J109" s="17" t="s">
        <v>105</v>
      </c>
      <c r="K109" s="17" t="s">
        <v>105</v>
      </c>
      <c r="L109" s="17" t="s">
        <v>7</v>
      </c>
      <c r="M109" s="17" t="s">
        <v>186</v>
      </c>
      <c r="N109" s="17" t="s">
        <v>221</v>
      </c>
      <c r="O109" s="17" t="s">
        <v>601</v>
      </c>
      <c r="P109" s="17" t="str">
        <f t="shared" si="3"/>
        <v>Yes</v>
      </c>
    </row>
    <row r="110" spans="1:16" ht="25.5">
      <c r="A110" s="17" t="s">
        <v>602</v>
      </c>
      <c r="B110" s="17" t="s">
        <v>535</v>
      </c>
      <c r="C110" s="17" t="s">
        <v>20</v>
      </c>
      <c r="D110" s="25" t="s">
        <v>563</v>
      </c>
      <c r="E110" s="17" t="s">
        <v>120</v>
      </c>
      <c r="F110" s="17" t="s">
        <v>544</v>
      </c>
      <c r="G110" s="17" t="s">
        <v>112</v>
      </c>
      <c r="H110" s="25" t="s">
        <v>539</v>
      </c>
      <c r="I110" s="17" t="s">
        <v>603</v>
      </c>
      <c r="J110" s="17" t="s">
        <v>105</v>
      </c>
      <c r="K110" s="17" t="s">
        <v>105</v>
      </c>
      <c r="L110" s="17" t="s">
        <v>7</v>
      </c>
      <c r="M110" s="17" t="s">
        <v>192</v>
      </c>
      <c r="N110" s="17" t="s">
        <v>107</v>
      </c>
      <c r="O110" s="17" t="s">
        <v>604</v>
      </c>
      <c r="P110" s="17" t="str">
        <f t="shared" si="3"/>
        <v>Yes</v>
      </c>
    </row>
    <row r="111" spans="1:16" ht="25.5">
      <c r="A111" s="17" t="s">
        <v>605</v>
      </c>
      <c r="B111" s="17" t="s">
        <v>535</v>
      </c>
      <c r="C111" s="17" t="s">
        <v>20</v>
      </c>
      <c r="D111" s="25" t="s">
        <v>536</v>
      </c>
      <c r="E111" s="17" t="s">
        <v>100</v>
      </c>
      <c r="F111" s="17" t="s">
        <v>549</v>
      </c>
      <c r="G111" s="17" t="s">
        <v>122</v>
      </c>
      <c r="H111" s="25" t="s">
        <v>539</v>
      </c>
      <c r="I111" s="17" t="s">
        <v>606</v>
      </c>
      <c r="J111" s="17" t="s">
        <v>105</v>
      </c>
      <c r="K111" s="17" t="s">
        <v>105</v>
      </c>
      <c r="L111" s="17" t="s">
        <v>11</v>
      </c>
      <c r="M111" s="17" t="s">
        <v>198</v>
      </c>
      <c r="N111" s="17" t="s">
        <v>116</v>
      </c>
      <c r="O111" s="17" t="s">
        <v>607</v>
      </c>
      <c r="P111" s="17" t="str">
        <f t="shared" si="3"/>
        <v>Yes</v>
      </c>
    </row>
    <row r="112" spans="1:16" ht="25.5">
      <c r="A112" s="17" t="s">
        <v>608</v>
      </c>
      <c r="B112" s="17" t="s">
        <v>535</v>
      </c>
      <c r="C112" s="17" t="s">
        <v>20</v>
      </c>
      <c r="D112" s="25" t="s">
        <v>543</v>
      </c>
      <c r="E112" s="17" t="s">
        <v>100</v>
      </c>
      <c r="F112" s="17" t="s">
        <v>554</v>
      </c>
      <c r="G112" s="17" t="s">
        <v>131</v>
      </c>
      <c r="H112" s="25" t="s">
        <v>539</v>
      </c>
      <c r="I112" s="17" t="s">
        <v>609</v>
      </c>
      <c r="J112" s="17" t="s">
        <v>105</v>
      </c>
      <c r="K112" s="17" t="s">
        <v>105</v>
      </c>
      <c r="L112" s="17" t="s">
        <v>7</v>
      </c>
      <c r="M112" s="17" t="s">
        <v>204</v>
      </c>
      <c r="N112" s="17" t="s">
        <v>126</v>
      </c>
      <c r="O112" s="17" t="s">
        <v>610</v>
      </c>
      <c r="P112" s="17" t="str">
        <f t="shared" si="3"/>
        <v>Yes</v>
      </c>
    </row>
    <row r="113" spans="1:16" ht="25.5">
      <c r="A113" s="17" t="s">
        <v>611</v>
      </c>
      <c r="B113" s="17" t="s">
        <v>535</v>
      </c>
      <c r="C113" s="17" t="s">
        <v>20</v>
      </c>
      <c r="D113" s="25" t="s">
        <v>548</v>
      </c>
      <c r="E113" s="17" t="s">
        <v>120</v>
      </c>
      <c r="F113" s="17" t="s">
        <v>559</v>
      </c>
      <c r="G113" s="17" t="s">
        <v>102</v>
      </c>
      <c r="H113" s="25" t="s">
        <v>539</v>
      </c>
      <c r="I113" s="17" t="s">
        <v>612</v>
      </c>
      <c r="J113" s="17" t="s">
        <v>105</v>
      </c>
      <c r="K113" s="17" t="s">
        <v>105</v>
      </c>
      <c r="L113" s="17" t="s">
        <v>7</v>
      </c>
      <c r="M113" s="17" t="s">
        <v>210</v>
      </c>
      <c r="N113" s="17" t="s">
        <v>135</v>
      </c>
      <c r="O113" s="17" t="s">
        <v>613</v>
      </c>
      <c r="P113" s="17" t="str">
        <f t="shared" si="3"/>
        <v>Yes</v>
      </c>
    </row>
    <row r="114" spans="1:16" ht="25.5">
      <c r="A114" s="17" t="s">
        <v>614</v>
      </c>
      <c r="B114" s="17" t="s">
        <v>535</v>
      </c>
      <c r="C114" s="17" t="s">
        <v>20</v>
      </c>
      <c r="D114" s="25" t="s">
        <v>553</v>
      </c>
      <c r="E114" s="17" t="s">
        <v>100</v>
      </c>
      <c r="F114" s="17" t="s">
        <v>564</v>
      </c>
      <c r="G114" s="17" t="s">
        <v>112</v>
      </c>
      <c r="H114" s="25" t="s">
        <v>539</v>
      </c>
      <c r="I114" s="17" t="s">
        <v>615</v>
      </c>
      <c r="J114" s="17" t="s">
        <v>105</v>
      </c>
      <c r="K114" s="17" t="s">
        <v>105</v>
      </c>
      <c r="L114" s="17" t="s">
        <v>7</v>
      </c>
      <c r="M114" s="17" t="s">
        <v>106</v>
      </c>
      <c r="N114" s="17" t="s">
        <v>143</v>
      </c>
      <c r="O114" s="17" t="s">
        <v>616</v>
      </c>
      <c r="P114" s="17" t="str">
        <f t="shared" si="3"/>
        <v>Yes</v>
      </c>
    </row>
    <row r="115" spans="1:16" ht="25.5">
      <c r="A115" s="17" t="s">
        <v>617</v>
      </c>
      <c r="B115" s="17" t="s">
        <v>535</v>
      </c>
      <c r="C115" s="17" t="s">
        <v>20</v>
      </c>
      <c r="D115" s="25" t="s">
        <v>558</v>
      </c>
      <c r="E115" s="17" t="s">
        <v>100</v>
      </c>
      <c r="F115" s="17" t="s">
        <v>568</v>
      </c>
      <c r="G115" s="17" t="s">
        <v>122</v>
      </c>
      <c r="H115" s="25" t="s">
        <v>539</v>
      </c>
      <c r="I115" s="17" t="s">
        <v>618</v>
      </c>
      <c r="J115" s="17" t="s">
        <v>105</v>
      </c>
      <c r="K115" s="17" t="s">
        <v>105</v>
      </c>
      <c r="L115" s="17" t="s">
        <v>7</v>
      </c>
      <c r="M115" s="17" t="s">
        <v>115</v>
      </c>
      <c r="N115" s="17" t="s">
        <v>151</v>
      </c>
      <c r="O115" s="17" t="s">
        <v>619</v>
      </c>
      <c r="P115" s="17" t="str">
        <f t="shared" si="3"/>
        <v>Yes</v>
      </c>
    </row>
    <row r="116" spans="1:16" ht="25.5">
      <c r="A116" s="17" t="s">
        <v>620</v>
      </c>
      <c r="B116" s="17" t="s">
        <v>535</v>
      </c>
      <c r="C116" s="17" t="s">
        <v>20</v>
      </c>
      <c r="D116" s="25" t="s">
        <v>563</v>
      </c>
      <c r="E116" s="17" t="s">
        <v>120</v>
      </c>
      <c r="F116" s="17" t="s">
        <v>572</v>
      </c>
      <c r="G116" s="17" t="s">
        <v>131</v>
      </c>
      <c r="H116" s="25" t="s">
        <v>539</v>
      </c>
      <c r="I116" s="17" t="s">
        <v>621</v>
      </c>
      <c r="J116" s="17" t="s">
        <v>105</v>
      </c>
      <c r="K116" s="17" t="s">
        <v>105</v>
      </c>
      <c r="L116" s="17" t="s">
        <v>11</v>
      </c>
      <c r="M116" s="17" t="s">
        <v>125</v>
      </c>
      <c r="N116" s="17" t="s">
        <v>157</v>
      </c>
      <c r="O116" s="17" t="s">
        <v>622</v>
      </c>
      <c r="P116" s="17" t="str">
        <f t="shared" si="3"/>
        <v>Yes</v>
      </c>
    </row>
    <row r="117" spans="1:16" ht="25.5">
      <c r="A117" s="17" t="s">
        <v>623</v>
      </c>
      <c r="B117" s="17" t="s">
        <v>535</v>
      </c>
      <c r="C117" s="17" t="s">
        <v>20</v>
      </c>
      <c r="D117" s="25" t="s">
        <v>536</v>
      </c>
      <c r="E117" s="17" t="s">
        <v>100</v>
      </c>
      <c r="F117" s="17" t="s">
        <v>538</v>
      </c>
      <c r="G117" s="17" t="s">
        <v>102</v>
      </c>
      <c r="H117" s="25" t="s">
        <v>539</v>
      </c>
      <c r="I117" s="17" t="s">
        <v>624</v>
      </c>
      <c r="J117" s="17" t="s">
        <v>105</v>
      </c>
      <c r="K117" s="17" t="s">
        <v>105</v>
      </c>
      <c r="L117" s="17" t="s">
        <v>7</v>
      </c>
      <c r="M117" s="17" t="s">
        <v>134</v>
      </c>
      <c r="N117" s="17" t="s">
        <v>163</v>
      </c>
      <c r="O117" s="17" t="s">
        <v>625</v>
      </c>
      <c r="P117" s="17" t="str">
        <f t="shared" si="3"/>
        <v>Yes</v>
      </c>
    </row>
    <row r="118" spans="1:16" ht="25.5">
      <c r="A118" s="17" t="s">
        <v>626</v>
      </c>
      <c r="B118" s="17" t="s">
        <v>535</v>
      </c>
      <c r="C118" s="17" t="s">
        <v>20</v>
      </c>
      <c r="D118" s="25" t="s">
        <v>543</v>
      </c>
      <c r="E118" s="17" t="s">
        <v>100</v>
      </c>
      <c r="F118" s="17" t="s">
        <v>544</v>
      </c>
      <c r="G118" s="17" t="s">
        <v>112</v>
      </c>
      <c r="H118" s="25" t="s">
        <v>539</v>
      </c>
      <c r="I118" s="17" t="s">
        <v>627</v>
      </c>
      <c r="J118" s="17" t="s">
        <v>105</v>
      </c>
      <c r="K118" s="17" t="s">
        <v>105</v>
      </c>
      <c r="L118" s="17" t="s">
        <v>7</v>
      </c>
      <c r="M118" s="17" t="s">
        <v>142</v>
      </c>
      <c r="N118" s="17" t="s">
        <v>169</v>
      </c>
      <c r="O118" s="17" t="s">
        <v>628</v>
      </c>
      <c r="P118" s="17" t="str">
        <f t="shared" si="3"/>
        <v>Yes</v>
      </c>
    </row>
    <row r="119" spans="1:16" ht="25.5">
      <c r="A119" s="17" t="s">
        <v>629</v>
      </c>
      <c r="B119" s="17" t="s">
        <v>535</v>
      </c>
      <c r="C119" s="17" t="s">
        <v>20</v>
      </c>
      <c r="D119" s="25" t="s">
        <v>548</v>
      </c>
      <c r="E119" s="17" t="s">
        <v>120</v>
      </c>
      <c r="F119" s="17" t="s">
        <v>549</v>
      </c>
      <c r="G119" s="17" t="s">
        <v>122</v>
      </c>
      <c r="H119" s="25" t="s">
        <v>539</v>
      </c>
      <c r="I119" s="17" t="s">
        <v>630</v>
      </c>
      <c r="J119" s="17" t="s">
        <v>105</v>
      </c>
      <c r="K119" s="17" t="s">
        <v>105</v>
      </c>
      <c r="L119" s="17" t="s">
        <v>7</v>
      </c>
      <c r="M119" s="17" t="s">
        <v>150</v>
      </c>
      <c r="N119" s="17" t="s">
        <v>175</v>
      </c>
      <c r="O119" s="17" t="s">
        <v>631</v>
      </c>
      <c r="P119" s="17" t="str">
        <f t="shared" si="3"/>
        <v>Yes</v>
      </c>
    </row>
    <row r="120" spans="1:16" ht="25.5">
      <c r="A120" s="17" t="s">
        <v>632</v>
      </c>
      <c r="B120" s="17" t="s">
        <v>535</v>
      </c>
      <c r="C120" s="17" t="s">
        <v>20</v>
      </c>
      <c r="D120" s="25" t="s">
        <v>553</v>
      </c>
      <c r="E120" s="17" t="s">
        <v>100</v>
      </c>
      <c r="F120" s="17" t="s">
        <v>554</v>
      </c>
      <c r="G120" s="17" t="s">
        <v>131</v>
      </c>
      <c r="H120" s="25" t="s">
        <v>539</v>
      </c>
      <c r="I120" s="17" t="s">
        <v>633</v>
      </c>
      <c r="J120" s="17" t="s">
        <v>105</v>
      </c>
      <c r="K120" s="17" t="s">
        <v>105</v>
      </c>
      <c r="L120" s="17" t="s">
        <v>7</v>
      </c>
      <c r="M120" s="17" t="s">
        <v>156</v>
      </c>
      <c r="N120" s="17" t="s">
        <v>181</v>
      </c>
      <c r="O120" s="17" t="s">
        <v>634</v>
      </c>
      <c r="P120" s="17" t="str">
        <f t="shared" si="3"/>
        <v>Yes</v>
      </c>
    </row>
    <row r="121" spans="1:16" ht="25.5">
      <c r="A121" s="17" t="s">
        <v>635</v>
      </c>
      <c r="B121" s="17" t="s">
        <v>535</v>
      </c>
      <c r="C121" s="17" t="s">
        <v>20</v>
      </c>
      <c r="D121" s="25" t="s">
        <v>558</v>
      </c>
      <c r="E121" s="17" t="s">
        <v>100</v>
      </c>
      <c r="F121" s="17" t="s">
        <v>559</v>
      </c>
      <c r="G121" s="17" t="s">
        <v>102</v>
      </c>
      <c r="H121" s="25" t="s">
        <v>539</v>
      </c>
      <c r="I121" s="17" t="s">
        <v>636</v>
      </c>
      <c r="J121" s="17" t="s">
        <v>105</v>
      </c>
      <c r="K121" s="17" t="s">
        <v>105</v>
      </c>
      <c r="L121" s="17" t="s">
        <v>11</v>
      </c>
      <c r="M121" s="17" t="s">
        <v>162</v>
      </c>
      <c r="N121" s="17" t="s">
        <v>187</v>
      </c>
      <c r="O121" s="17" t="s">
        <v>637</v>
      </c>
      <c r="P121" s="17" t="str">
        <f t="shared" si="3"/>
        <v>Yes</v>
      </c>
    </row>
    <row r="122" spans="1:16" ht="25.5">
      <c r="A122" s="17" t="s">
        <v>638</v>
      </c>
      <c r="B122" s="17" t="s">
        <v>535</v>
      </c>
      <c r="C122" s="17" t="s">
        <v>20</v>
      </c>
      <c r="D122" s="25" t="s">
        <v>563</v>
      </c>
      <c r="E122" s="17" t="s">
        <v>120</v>
      </c>
      <c r="F122" s="17" t="s">
        <v>564</v>
      </c>
      <c r="G122" s="17" t="s">
        <v>112</v>
      </c>
      <c r="H122" s="25" t="s">
        <v>539</v>
      </c>
      <c r="I122" s="17" t="s">
        <v>639</v>
      </c>
      <c r="J122" s="17" t="s">
        <v>105</v>
      </c>
      <c r="K122" s="17" t="s">
        <v>105</v>
      </c>
      <c r="L122" s="17" t="s">
        <v>7</v>
      </c>
      <c r="M122" s="17" t="s">
        <v>168</v>
      </c>
      <c r="N122" s="17" t="s">
        <v>193</v>
      </c>
      <c r="O122" s="17" t="s">
        <v>640</v>
      </c>
      <c r="P122" s="17" t="str">
        <f t="shared" si="3"/>
        <v>Yes</v>
      </c>
    </row>
    <row r="123" spans="1:16" ht="25.5" hidden="1">
      <c r="A123" s="17" t="s">
        <v>641</v>
      </c>
      <c r="B123" s="17" t="s">
        <v>642</v>
      </c>
      <c r="C123" s="17" t="s">
        <v>17</v>
      </c>
      <c r="D123" s="25" t="s">
        <v>643</v>
      </c>
      <c r="E123" s="17" t="s">
        <v>100</v>
      </c>
      <c r="F123" s="17" t="s">
        <v>644</v>
      </c>
      <c r="G123" s="17" t="s">
        <v>102</v>
      </c>
      <c r="H123" s="25" t="s">
        <v>251</v>
      </c>
      <c r="I123" s="17" t="s">
        <v>645</v>
      </c>
      <c r="J123" s="17" t="s">
        <v>105</v>
      </c>
      <c r="K123" s="17" t="s">
        <v>105</v>
      </c>
      <c r="L123" s="17" t="s">
        <v>7</v>
      </c>
      <c r="M123" s="17" t="s">
        <v>174</v>
      </c>
      <c r="N123" s="17" t="s">
        <v>199</v>
      </c>
      <c r="O123" s="17" t="s">
        <v>646</v>
      </c>
      <c r="P123" s="17" t="str">
        <f t="shared" si="3"/>
        <v>Yes</v>
      </c>
    </row>
    <row r="124" spans="1:16" ht="25.5" hidden="1">
      <c r="A124" s="17" t="s">
        <v>647</v>
      </c>
      <c r="B124" s="17" t="s">
        <v>642</v>
      </c>
      <c r="C124" s="17" t="s">
        <v>17</v>
      </c>
      <c r="D124" s="25" t="s">
        <v>648</v>
      </c>
      <c r="E124" s="17" t="s">
        <v>100</v>
      </c>
      <c r="F124" s="17" t="s">
        <v>649</v>
      </c>
      <c r="G124" s="17" t="s">
        <v>112</v>
      </c>
      <c r="H124" s="25" t="s">
        <v>257</v>
      </c>
      <c r="I124" s="17" t="s">
        <v>650</v>
      </c>
      <c r="J124" s="17" t="s">
        <v>105</v>
      </c>
      <c r="K124" s="17" t="s">
        <v>105</v>
      </c>
      <c r="L124" s="17" t="s">
        <v>7</v>
      </c>
      <c r="M124" s="17" t="s">
        <v>180</v>
      </c>
      <c r="N124" s="17" t="s">
        <v>205</v>
      </c>
      <c r="O124" s="17" t="s">
        <v>651</v>
      </c>
      <c r="P124" s="17" t="str">
        <f t="shared" si="3"/>
        <v>Yes</v>
      </c>
    </row>
    <row r="125" spans="1:16" ht="25.5" hidden="1">
      <c r="A125" s="17" t="s">
        <v>652</v>
      </c>
      <c r="B125" s="17" t="s">
        <v>642</v>
      </c>
      <c r="C125" s="17" t="s">
        <v>17</v>
      </c>
      <c r="D125" s="25" t="s">
        <v>653</v>
      </c>
      <c r="E125" s="17" t="s">
        <v>120</v>
      </c>
      <c r="F125" s="17" t="s">
        <v>654</v>
      </c>
      <c r="G125" s="17" t="s">
        <v>122</v>
      </c>
      <c r="H125" s="25" t="s">
        <v>263</v>
      </c>
      <c r="I125" s="17" t="s">
        <v>655</v>
      </c>
      <c r="J125" s="17" t="s">
        <v>105</v>
      </c>
      <c r="K125" s="17" t="s">
        <v>105</v>
      </c>
      <c r="L125" s="17" t="s">
        <v>7</v>
      </c>
      <c r="M125" s="17" t="s">
        <v>186</v>
      </c>
      <c r="N125" s="17" t="s">
        <v>211</v>
      </c>
      <c r="O125" s="17" t="s">
        <v>656</v>
      </c>
      <c r="P125" s="17" t="str">
        <f t="shared" si="3"/>
        <v>Yes</v>
      </c>
    </row>
    <row r="126" spans="1:16" ht="25.5" hidden="1">
      <c r="A126" s="17" t="s">
        <v>657</v>
      </c>
      <c r="B126" s="17" t="s">
        <v>642</v>
      </c>
      <c r="C126" s="17" t="s">
        <v>17</v>
      </c>
      <c r="D126" s="25" t="s">
        <v>658</v>
      </c>
      <c r="E126" s="17" t="s">
        <v>100</v>
      </c>
      <c r="F126" s="17" t="s">
        <v>659</v>
      </c>
      <c r="G126" s="17" t="s">
        <v>131</v>
      </c>
      <c r="H126" s="25" t="s">
        <v>269</v>
      </c>
      <c r="I126" s="17" t="s">
        <v>660</v>
      </c>
      <c r="J126" s="17" t="s">
        <v>105</v>
      </c>
      <c r="K126" s="17" t="s">
        <v>105</v>
      </c>
      <c r="L126" s="17" t="s">
        <v>11</v>
      </c>
      <c r="M126" s="17" t="s">
        <v>192</v>
      </c>
      <c r="N126" s="17" t="s">
        <v>216</v>
      </c>
      <c r="O126" s="17" t="s">
        <v>661</v>
      </c>
      <c r="P126" s="17" t="str">
        <f t="shared" si="3"/>
        <v>Yes</v>
      </c>
    </row>
    <row r="127" spans="1:16" ht="25.5" hidden="1">
      <c r="A127" s="17" t="s">
        <v>662</v>
      </c>
      <c r="B127" s="17" t="s">
        <v>642</v>
      </c>
      <c r="C127" s="17" t="s">
        <v>17</v>
      </c>
      <c r="D127" s="25" t="s">
        <v>663</v>
      </c>
      <c r="E127" s="17" t="s">
        <v>100</v>
      </c>
      <c r="F127" s="17" t="s">
        <v>664</v>
      </c>
      <c r="G127" s="17" t="s">
        <v>102</v>
      </c>
      <c r="H127" s="25" t="s">
        <v>251</v>
      </c>
      <c r="I127" s="17" t="s">
        <v>665</v>
      </c>
      <c r="J127" s="17" t="s">
        <v>105</v>
      </c>
      <c r="K127" s="17" t="s">
        <v>105</v>
      </c>
      <c r="L127" s="17" t="s">
        <v>7</v>
      </c>
      <c r="M127" s="17" t="s">
        <v>198</v>
      </c>
      <c r="N127" s="17" t="s">
        <v>221</v>
      </c>
      <c r="O127" s="17" t="s">
        <v>666</v>
      </c>
      <c r="P127" s="17" t="str">
        <f t="shared" si="3"/>
        <v>Yes</v>
      </c>
    </row>
    <row r="128" spans="1:16" ht="25.5" hidden="1">
      <c r="A128" s="17" t="s">
        <v>667</v>
      </c>
      <c r="B128" s="17" t="s">
        <v>642</v>
      </c>
      <c r="C128" s="17" t="s">
        <v>17</v>
      </c>
      <c r="D128" s="25" t="s">
        <v>643</v>
      </c>
      <c r="E128" s="17" t="s">
        <v>120</v>
      </c>
      <c r="F128" s="17" t="s">
        <v>644</v>
      </c>
      <c r="G128" s="17" t="s">
        <v>112</v>
      </c>
      <c r="H128" s="25" t="s">
        <v>257</v>
      </c>
      <c r="I128" s="17" t="s">
        <v>668</v>
      </c>
      <c r="J128" s="17" t="s">
        <v>105</v>
      </c>
      <c r="K128" s="17" t="s">
        <v>105</v>
      </c>
      <c r="L128" s="17" t="s">
        <v>7</v>
      </c>
      <c r="M128" s="17" t="s">
        <v>204</v>
      </c>
      <c r="N128" s="17" t="s">
        <v>107</v>
      </c>
      <c r="O128" s="17" t="s">
        <v>669</v>
      </c>
      <c r="P128" s="17" t="str">
        <f t="shared" si="3"/>
        <v>Yes</v>
      </c>
    </row>
    <row r="129" spans="1:16" ht="25.5" hidden="1">
      <c r="A129" s="17" t="s">
        <v>670</v>
      </c>
      <c r="B129" s="17" t="s">
        <v>642</v>
      </c>
      <c r="C129" s="17" t="s">
        <v>17</v>
      </c>
      <c r="D129" s="25" t="s">
        <v>648</v>
      </c>
      <c r="E129" s="17" t="s">
        <v>100</v>
      </c>
      <c r="F129" s="17" t="s">
        <v>649</v>
      </c>
      <c r="G129" s="17" t="s">
        <v>122</v>
      </c>
      <c r="H129" s="25" t="s">
        <v>263</v>
      </c>
      <c r="I129" s="17" t="s">
        <v>671</v>
      </c>
      <c r="J129" s="17" t="s">
        <v>105</v>
      </c>
      <c r="K129" s="17" t="s">
        <v>105</v>
      </c>
      <c r="L129" s="17" t="s">
        <v>7</v>
      </c>
      <c r="M129" s="17" t="s">
        <v>210</v>
      </c>
      <c r="N129" s="17" t="s">
        <v>116</v>
      </c>
      <c r="O129" s="17" t="s">
        <v>672</v>
      </c>
      <c r="P129" s="17" t="str">
        <f t="shared" si="3"/>
        <v>Yes</v>
      </c>
    </row>
    <row r="130" spans="1:16" ht="25.5" hidden="1">
      <c r="A130" s="17" t="s">
        <v>673</v>
      </c>
      <c r="B130" s="17" t="s">
        <v>642</v>
      </c>
      <c r="C130" s="17" t="s">
        <v>17</v>
      </c>
      <c r="D130" s="25" t="s">
        <v>653</v>
      </c>
      <c r="E130" s="17" t="s">
        <v>100</v>
      </c>
      <c r="F130" s="17" t="s">
        <v>654</v>
      </c>
      <c r="G130" s="17" t="s">
        <v>131</v>
      </c>
      <c r="H130" s="25" t="s">
        <v>269</v>
      </c>
      <c r="I130" s="17" t="s">
        <v>674</v>
      </c>
      <c r="J130" s="17" t="s">
        <v>105</v>
      </c>
      <c r="K130" s="17" t="s">
        <v>105</v>
      </c>
      <c r="L130" s="17" t="s">
        <v>7</v>
      </c>
      <c r="M130" s="17" t="s">
        <v>106</v>
      </c>
      <c r="N130" s="17" t="s">
        <v>126</v>
      </c>
      <c r="O130" s="17" t="s">
        <v>675</v>
      </c>
      <c r="P130" s="17" t="str">
        <f t="shared" ref="P130:P161" si="4">IF(L130&lt;&gt;"Complete","Yes","No")</f>
        <v>Yes</v>
      </c>
    </row>
    <row r="131" spans="1:16" ht="25.5" hidden="1">
      <c r="A131" s="17" t="s">
        <v>676</v>
      </c>
      <c r="B131" s="17" t="s">
        <v>642</v>
      </c>
      <c r="C131" s="17" t="s">
        <v>17</v>
      </c>
      <c r="D131" s="25" t="s">
        <v>658</v>
      </c>
      <c r="E131" s="17" t="s">
        <v>120</v>
      </c>
      <c r="F131" s="17" t="s">
        <v>659</v>
      </c>
      <c r="G131" s="17" t="s">
        <v>102</v>
      </c>
      <c r="H131" s="25" t="s">
        <v>251</v>
      </c>
      <c r="I131" s="17" t="s">
        <v>677</v>
      </c>
      <c r="J131" s="17" t="s">
        <v>105</v>
      </c>
      <c r="K131" s="17" t="s">
        <v>105</v>
      </c>
      <c r="L131" s="17" t="s">
        <v>11</v>
      </c>
      <c r="M131" s="17" t="s">
        <v>115</v>
      </c>
      <c r="N131" s="17" t="s">
        <v>135</v>
      </c>
      <c r="O131" s="17" t="s">
        <v>678</v>
      </c>
      <c r="P131" s="17" t="str">
        <f t="shared" si="4"/>
        <v>Yes</v>
      </c>
    </row>
    <row r="132" spans="1:16" ht="25.5" hidden="1">
      <c r="A132" s="17" t="s">
        <v>679</v>
      </c>
      <c r="B132" s="17" t="s">
        <v>642</v>
      </c>
      <c r="C132" s="17" t="s">
        <v>17</v>
      </c>
      <c r="D132" s="25" t="s">
        <v>663</v>
      </c>
      <c r="E132" s="17" t="s">
        <v>100</v>
      </c>
      <c r="F132" s="17" t="s">
        <v>664</v>
      </c>
      <c r="G132" s="17" t="s">
        <v>112</v>
      </c>
      <c r="H132" s="25" t="s">
        <v>257</v>
      </c>
      <c r="I132" s="17" t="s">
        <v>680</v>
      </c>
      <c r="J132" s="17" t="s">
        <v>105</v>
      </c>
      <c r="K132" s="17" t="s">
        <v>105</v>
      </c>
      <c r="L132" s="17" t="s">
        <v>7</v>
      </c>
      <c r="M132" s="17" t="s">
        <v>125</v>
      </c>
      <c r="N132" s="17" t="s">
        <v>143</v>
      </c>
      <c r="O132" s="17" t="s">
        <v>681</v>
      </c>
      <c r="P132" s="17" t="str">
        <f t="shared" si="4"/>
        <v>Yes</v>
      </c>
    </row>
    <row r="133" spans="1:16" ht="25.5" hidden="1">
      <c r="A133" s="17" t="s">
        <v>682</v>
      </c>
      <c r="B133" s="17" t="s">
        <v>642</v>
      </c>
      <c r="C133" s="17" t="s">
        <v>17</v>
      </c>
      <c r="D133" s="25" t="s">
        <v>643</v>
      </c>
      <c r="E133" s="17" t="s">
        <v>100</v>
      </c>
      <c r="F133" s="17" t="s">
        <v>644</v>
      </c>
      <c r="G133" s="17" t="s">
        <v>122</v>
      </c>
      <c r="H133" s="25" t="s">
        <v>263</v>
      </c>
      <c r="I133" s="17" t="s">
        <v>683</v>
      </c>
      <c r="J133" s="17" t="s">
        <v>105</v>
      </c>
      <c r="K133" s="17" t="s">
        <v>105</v>
      </c>
      <c r="L133" s="17" t="s">
        <v>7</v>
      </c>
      <c r="M133" s="17" t="s">
        <v>134</v>
      </c>
      <c r="N133" s="17" t="s">
        <v>151</v>
      </c>
      <c r="O133" s="17" t="s">
        <v>684</v>
      </c>
      <c r="P133" s="17" t="str">
        <f t="shared" si="4"/>
        <v>Yes</v>
      </c>
    </row>
    <row r="134" spans="1:16" ht="25.5" hidden="1">
      <c r="A134" s="17" t="s">
        <v>685</v>
      </c>
      <c r="B134" s="17" t="s">
        <v>642</v>
      </c>
      <c r="C134" s="17" t="s">
        <v>17</v>
      </c>
      <c r="D134" s="25" t="s">
        <v>648</v>
      </c>
      <c r="E134" s="17" t="s">
        <v>120</v>
      </c>
      <c r="F134" s="17" t="s">
        <v>649</v>
      </c>
      <c r="G134" s="17" t="s">
        <v>131</v>
      </c>
      <c r="H134" s="25" t="s">
        <v>269</v>
      </c>
      <c r="I134" s="17" t="s">
        <v>686</v>
      </c>
      <c r="J134" s="17" t="s">
        <v>105</v>
      </c>
      <c r="K134" s="17" t="s">
        <v>105</v>
      </c>
      <c r="L134" s="17" t="s">
        <v>7</v>
      </c>
      <c r="M134" s="17" t="s">
        <v>142</v>
      </c>
      <c r="N134" s="17" t="s">
        <v>157</v>
      </c>
      <c r="O134" s="17" t="s">
        <v>687</v>
      </c>
      <c r="P134" s="17" t="str">
        <f t="shared" si="4"/>
        <v>Yes</v>
      </c>
    </row>
    <row r="135" spans="1:16" ht="25.5" hidden="1">
      <c r="A135" s="17" t="s">
        <v>688</v>
      </c>
      <c r="B135" s="17" t="s">
        <v>642</v>
      </c>
      <c r="C135" s="17" t="s">
        <v>17</v>
      </c>
      <c r="D135" s="25" t="s">
        <v>653</v>
      </c>
      <c r="E135" s="17" t="s">
        <v>100</v>
      </c>
      <c r="F135" s="17" t="s">
        <v>654</v>
      </c>
      <c r="G135" s="17" t="s">
        <v>102</v>
      </c>
      <c r="H135" s="25" t="s">
        <v>251</v>
      </c>
      <c r="I135" s="17" t="s">
        <v>689</v>
      </c>
      <c r="J135" s="17" t="s">
        <v>105</v>
      </c>
      <c r="K135" s="17" t="s">
        <v>105</v>
      </c>
      <c r="L135" s="17" t="s">
        <v>7</v>
      </c>
      <c r="M135" s="17" t="s">
        <v>150</v>
      </c>
      <c r="N135" s="17" t="s">
        <v>163</v>
      </c>
      <c r="O135" s="17" t="s">
        <v>690</v>
      </c>
      <c r="P135" s="17" t="str">
        <f t="shared" si="4"/>
        <v>Yes</v>
      </c>
    </row>
    <row r="136" spans="1:16" ht="25.5" hidden="1">
      <c r="A136" s="17" t="s">
        <v>691</v>
      </c>
      <c r="B136" s="17" t="s">
        <v>642</v>
      </c>
      <c r="C136" s="17" t="s">
        <v>17</v>
      </c>
      <c r="D136" s="25" t="s">
        <v>658</v>
      </c>
      <c r="E136" s="17" t="s">
        <v>100</v>
      </c>
      <c r="F136" s="17" t="s">
        <v>659</v>
      </c>
      <c r="G136" s="17" t="s">
        <v>112</v>
      </c>
      <c r="H136" s="25" t="s">
        <v>257</v>
      </c>
      <c r="I136" s="17" t="s">
        <v>692</v>
      </c>
      <c r="J136" s="17" t="s">
        <v>105</v>
      </c>
      <c r="K136" s="17" t="s">
        <v>105</v>
      </c>
      <c r="L136" s="17" t="s">
        <v>11</v>
      </c>
      <c r="M136" s="17" t="s">
        <v>156</v>
      </c>
      <c r="N136" s="17" t="s">
        <v>169</v>
      </c>
      <c r="O136" s="17" t="s">
        <v>693</v>
      </c>
      <c r="P136" s="17" t="str">
        <f t="shared" si="4"/>
        <v>Yes</v>
      </c>
    </row>
    <row r="137" spans="1:16" ht="25.5" hidden="1">
      <c r="A137" s="17" t="s">
        <v>694</v>
      </c>
      <c r="B137" s="17" t="s">
        <v>642</v>
      </c>
      <c r="C137" s="17" t="s">
        <v>17</v>
      </c>
      <c r="D137" s="25" t="s">
        <v>663</v>
      </c>
      <c r="E137" s="17" t="s">
        <v>120</v>
      </c>
      <c r="F137" s="17" t="s">
        <v>664</v>
      </c>
      <c r="G137" s="17" t="s">
        <v>122</v>
      </c>
      <c r="H137" s="25" t="s">
        <v>263</v>
      </c>
      <c r="I137" s="17" t="s">
        <v>695</v>
      </c>
      <c r="J137" s="17" t="s">
        <v>105</v>
      </c>
      <c r="K137" s="17" t="s">
        <v>105</v>
      </c>
      <c r="L137" s="17" t="s">
        <v>7</v>
      </c>
      <c r="M137" s="17" t="s">
        <v>162</v>
      </c>
      <c r="N137" s="17" t="s">
        <v>175</v>
      </c>
      <c r="O137" s="17" t="s">
        <v>696</v>
      </c>
      <c r="P137" s="17" t="str">
        <f t="shared" si="4"/>
        <v>Yes</v>
      </c>
    </row>
    <row r="138" spans="1:16" ht="25.5" hidden="1">
      <c r="A138" s="17" t="s">
        <v>697</v>
      </c>
      <c r="B138" s="17" t="s">
        <v>642</v>
      </c>
      <c r="C138" s="17" t="s">
        <v>17</v>
      </c>
      <c r="D138" s="25" t="s">
        <v>643</v>
      </c>
      <c r="E138" s="17" t="s">
        <v>100</v>
      </c>
      <c r="F138" s="17" t="s">
        <v>644</v>
      </c>
      <c r="G138" s="17" t="s">
        <v>131</v>
      </c>
      <c r="H138" s="25" t="s">
        <v>269</v>
      </c>
      <c r="I138" s="17" t="s">
        <v>698</v>
      </c>
      <c r="J138" s="17" t="s">
        <v>105</v>
      </c>
      <c r="K138" s="17" t="s">
        <v>105</v>
      </c>
      <c r="L138" s="17" t="s">
        <v>7</v>
      </c>
      <c r="M138" s="17" t="s">
        <v>168</v>
      </c>
      <c r="N138" s="17" t="s">
        <v>181</v>
      </c>
      <c r="O138" s="17" t="s">
        <v>699</v>
      </c>
      <c r="P138" s="17" t="str">
        <f t="shared" si="4"/>
        <v>Yes</v>
      </c>
    </row>
    <row r="139" spans="1:16" ht="25.5" hidden="1">
      <c r="A139" s="17" t="s">
        <v>700</v>
      </c>
      <c r="B139" s="17" t="s">
        <v>642</v>
      </c>
      <c r="C139" s="17" t="s">
        <v>17</v>
      </c>
      <c r="D139" s="25" t="s">
        <v>648</v>
      </c>
      <c r="E139" s="17" t="s">
        <v>100</v>
      </c>
      <c r="F139" s="17" t="s">
        <v>649</v>
      </c>
      <c r="G139" s="17" t="s">
        <v>102</v>
      </c>
      <c r="H139" s="25" t="s">
        <v>251</v>
      </c>
      <c r="I139" s="17" t="s">
        <v>701</v>
      </c>
      <c r="J139" s="17" t="s">
        <v>105</v>
      </c>
      <c r="K139" s="17" t="s">
        <v>105</v>
      </c>
      <c r="L139" s="17" t="s">
        <v>7</v>
      </c>
      <c r="M139" s="17" t="s">
        <v>174</v>
      </c>
      <c r="N139" s="17" t="s">
        <v>187</v>
      </c>
      <c r="O139" s="17" t="s">
        <v>702</v>
      </c>
      <c r="P139" s="17" t="str">
        <f t="shared" si="4"/>
        <v>Yes</v>
      </c>
    </row>
    <row r="140" spans="1:16" ht="25.5" hidden="1">
      <c r="A140" s="17" t="s">
        <v>703</v>
      </c>
      <c r="B140" s="17" t="s">
        <v>642</v>
      </c>
      <c r="C140" s="17" t="s">
        <v>17</v>
      </c>
      <c r="D140" s="25" t="s">
        <v>653</v>
      </c>
      <c r="E140" s="17" t="s">
        <v>120</v>
      </c>
      <c r="F140" s="17" t="s">
        <v>654</v>
      </c>
      <c r="G140" s="17" t="s">
        <v>112</v>
      </c>
      <c r="H140" s="25" t="s">
        <v>257</v>
      </c>
      <c r="I140" s="17" t="s">
        <v>704</v>
      </c>
      <c r="J140" s="17" t="s">
        <v>105</v>
      </c>
      <c r="K140" s="17" t="s">
        <v>105</v>
      </c>
      <c r="L140" s="17" t="s">
        <v>7</v>
      </c>
      <c r="M140" s="17" t="s">
        <v>180</v>
      </c>
      <c r="N140" s="17" t="s">
        <v>193</v>
      </c>
      <c r="O140" s="17" t="s">
        <v>705</v>
      </c>
      <c r="P140" s="17" t="str">
        <f t="shared" si="4"/>
        <v>Yes</v>
      </c>
    </row>
    <row r="141" spans="1:16" ht="25.5" hidden="1">
      <c r="A141" s="17" t="s">
        <v>706</v>
      </c>
      <c r="B141" s="17" t="s">
        <v>642</v>
      </c>
      <c r="C141" s="17" t="s">
        <v>17</v>
      </c>
      <c r="D141" s="25" t="s">
        <v>658</v>
      </c>
      <c r="E141" s="17" t="s">
        <v>100</v>
      </c>
      <c r="F141" s="17" t="s">
        <v>659</v>
      </c>
      <c r="G141" s="17" t="s">
        <v>122</v>
      </c>
      <c r="H141" s="25" t="s">
        <v>263</v>
      </c>
      <c r="I141" s="17" t="s">
        <v>707</v>
      </c>
      <c r="J141" s="17" t="s">
        <v>105</v>
      </c>
      <c r="K141" s="17" t="s">
        <v>105</v>
      </c>
      <c r="L141" s="17" t="s">
        <v>11</v>
      </c>
      <c r="M141" s="17" t="s">
        <v>186</v>
      </c>
      <c r="N141" s="17" t="s">
        <v>199</v>
      </c>
      <c r="O141" s="17" t="s">
        <v>708</v>
      </c>
      <c r="P141" s="17" t="str">
        <f t="shared" si="4"/>
        <v>Yes</v>
      </c>
    </row>
    <row r="142" spans="1:16" ht="25.5" hidden="1">
      <c r="A142" s="17" t="s">
        <v>709</v>
      </c>
      <c r="B142" s="17" t="s">
        <v>642</v>
      </c>
      <c r="C142" s="17" t="s">
        <v>17</v>
      </c>
      <c r="D142" s="25" t="s">
        <v>663</v>
      </c>
      <c r="E142" s="17" t="s">
        <v>100</v>
      </c>
      <c r="F142" s="17" t="s">
        <v>664</v>
      </c>
      <c r="G142" s="17" t="s">
        <v>131</v>
      </c>
      <c r="H142" s="25" t="s">
        <v>269</v>
      </c>
      <c r="I142" s="17" t="s">
        <v>710</v>
      </c>
      <c r="J142" s="17" t="s">
        <v>105</v>
      </c>
      <c r="K142" s="17" t="s">
        <v>105</v>
      </c>
      <c r="L142" s="17" t="s">
        <v>7</v>
      </c>
      <c r="M142" s="17" t="s">
        <v>192</v>
      </c>
      <c r="N142" s="17" t="s">
        <v>205</v>
      </c>
      <c r="O142" s="17" t="s">
        <v>711</v>
      </c>
      <c r="P142" s="17" t="str">
        <f t="shared" si="4"/>
        <v>Yes</v>
      </c>
    </row>
    <row r="143" spans="1:16" ht="38.25" hidden="1">
      <c r="A143" s="17" t="s">
        <v>712</v>
      </c>
      <c r="B143" s="17" t="s">
        <v>713</v>
      </c>
      <c r="C143" s="17" t="s">
        <v>27</v>
      </c>
      <c r="D143" s="25" t="s">
        <v>714</v>
      </c>
      <c r="E143" s="17" t="s">
        <v>100</v>
      </c>
      <c r="F143" s="17" t="s">
        <v>715</v>
      </c>
      <c r="G143" s="17" t="s">
        <v>102</v>
      </c>
      <c r="H143" s="25" t="s">
        <v>251</v>
      </c>
      <c r="I143" s="17" t="s">
        <v>716</v>
      </c>
      <c r="J143" s="17" t="s">
        <v>105</v>
      </c>
      <c r="K143" s="17" t="s">
        <v>105</v>
      </c>
      <c r="L143" s="17" t="s">
        <v>7</v>
      </c>
      <c r="M143" s="17" t="s">
        <v>198</v>
      </c>
      <c r="N143" s="17" t="s">
        <v>211</v>
      </c>
      <c r="O143" s="17" t="s">
        <v>717</v>
      </c>
      <c r="P143" s="17" t="str">
        <f t="shared" si="4"/>
        <v>Yes</v>
      </c>
    </row>
    <row r="144" spans="1:16" ht="25.5" hidden="1">
      <c r="A144" s="17" t="s">
        <v>718</v>
      </c>
      <c r="B144" s="17" t="s">
        <v>713</v>
      </c>
      <c r="C144" s="17" t="s">
        <v>27</v>
      </c>
      <c r="D144" s="25" t="s">
        <v>719</v>
      </c>
      <c r="E144" s="17" t="s">
        <v>100</v>
      </c>
      <c r="F144" s="17" t="s">
        <v>720</v>
      </c>
      <c r="G144" s="17" t="s">
        <v>112</v>
      </c>
      <c r="H144" s="25" t="s">
        <v>257</v>
      </c>
      <c r="I144" s="17" t="s">
        <v>721</v>
      </c>
      <c r="J144" s="17" t="s">
        <v>105</v>
      </c>
      <c r="K144" s="17" t="s">
        <v>105</v>
      </c>
      <c r="L144" s="17" t="s">
        <v>7</v>
      </c>
      <c r="M144" s="17" t="s">
        <v>204</v>
      </c>
      <c r="N144" s="17" t="s">
        <v>216</v>
      </c>
      <c r="O144" s="17" t="s">
        <v>722</v>
      </c>
      <c r="P144" s="17" t="str">
        <f t="shared" si="4"/>
        <v>Yes</v>
      </c>
    </row>
    <row r="145" spans="1:16" ht="25.5" hidden="1">
      <c r="A145" s="17" t="s">
        <v>723</v>
      </c>
      <c r="B145" s="17" t="s">
        <v>713</v>
      </c>
      <c r="C145" s="17" t="s">
        <v>27</v>
      </c>
      <c r="D145" s="25" t="s">
        <v>724</v>
      </c>
      <c r="E145" s="17" t="s">
        <v>120</v>
      </c>
      <c r="F145" s="17" t="s">
        <v>725</v>
      </c>
      <c r="G145" s="17" t="s">
        <v>122</v>
      </c>
      <c r="H145" s="25" t="s">
        <v>263</v>
      </c>
      <c r="I145" s="17" t="s">
        <v>726</v>
      </c>
      <c r="J145" s="17" t="s">
        <v>105</v>
      </c>
      <c r="K145" s="17" t="s">
        <v>105</v>
      </c>
      <c r="L145" s="17" t="s">
        <v>7</v>
      </c>
      <c r="M145" s="17" t="s">
        <v>210</v>
      </c>
      <c r="N145" s="17" t="s">
        <v>221</v>
      </c>
      <c r="O145" s="17" t="s">
        <v>727</v>
      </c>
      <c r="P145" s="17" t="str">
        <f t="shared" si="4"/>
        <v>Yes</v>
      </c>
    </row>
    <row r="146" spans="1:16" ht="25.5" hidden="1">
      <c r="A146" s="17" t="s">
        <v>728</v>
      </c>
      <c r="B146" s="17" t="s">
        <v>713</v>
      </c>
      <c r="C146" s="17" t="s">
        <v>27</v>
      </c>
      <c r="D146" s="25" t="s">
        <v>729</v>
      </c>
      <c r="E146" s="17" t="s">
        <v>100</v>
      </c>
      <c r="F146" s="17" t="s">
        <v>730</v>
      </c>
      <c r="G146" s="17" t="s">
        <v>131</v>
      </c>
      <c r="H146" s="25" t="s">
        <v>269</v>
      </c>
      <c r="I146" s="17" t="s">
        <v>731</v>
      </c>
      <c r="J146" s="17" t="s">
        <v>105</v>
      </c>
      <c r="K146" s="17" t="s">
        <v>105</v>
      </c>
      <c r="L146" s="17" t="s">
        <v>11</v>
      </c>
      <c r="M146" s="17" t="s">
        <v>106</v>
      </c>
      <c r="N146" s="17" t="s">
        <v>107</v>
      </c>
      <c r="O146" s="17" t="s">
        <v>732</v>
      </c>
      <c r="P146" s="17" t="str">
        <f t="shared" si="4"/>
        <v>Yes</v>
      </c>
    </row>
    <row r="147" spans="1:16" ht="25.5" hidden="1">
      <c r="A147" s="17" t="s">
        <v>733</v>
      </c>
      <c r="B147" s="17" t="s">
        <v>713</v>
      </c>
      <c r="C147" s="17" t="s">
        <v>27</v>
      </c>
      <c r="D147" s="25" t="s">
        <v>734</v>
      </c>
      <c r="E147" s="17" t="s">
        <v>100</v>
      </c>
      <c r="F147" s="17" t="s">
        <v>735</v>
      </c>
      <c r="G147" s="17" t="s">
        <v>102</v>
      </c>
      <c r="H147" s="25" t="s">
        <v>251</v>
      </c>
      <c r="I147" s="17" t="s">
        <v>736</v>
      </c>
      <c r="J147" s="17" t="s">
        <v>105</v>
      </c>
      <c r="K147" s="17" t="s">
        <v>105</v>
      </c>
      <c r="L147" s="17" t="s">
        <v>7</v>
      </c>
      <c r="M147" s="17" t="s">
        <v>115</v>
      </c>
      <c r="N147" s="17" t="s">
        <v>116</v>
      </c>
      <c r="O147" s="17" t="s">
        <v>737</v>
      </c>
      <c r="P147" s="17" t="str">
        <f t="shared" si="4"/>
        <v>Yes</v>
      </c>
    </row>
    <row r="148" spans="1:16" ht="38.25" hidden="1">
      <c r="A148" s="17" t="s">
        <v>738</v>
      </c>
      <c r="B148" s="17" t="s">
        <v>713</v>
      </c>
      <c r="C148" s="17" t="s">
        <v>27</v>
      </c>
      <c r="D148" s="25" t="s">
        <v>714</v>
      </c>
      <c r="E148" s="17" t="s">
        <v>120</v>
      </c>
      <c r="F148" s="17" t="s">
        <v>739</v>
      </c>
      <c r="G148" s="17" t="s">
        <v>112</v>
      </c>
      <c r="H148" s="25" t="s">
        <v>257</v>
      </c>
      <c r="I148" s="17" t="s">
        <v>740</v>
      </c>
      <c r="J148" s="17" t="s">
        <v>105</v>
      </c>
      <c r="K148" s="17" t="s">
        <v>105</v>
      </c>
      <c r="L148" s="17" t="s">
        <v>7</v>
      </c>
      <c r="M148" s="17" t="s">
        <v>125</v>
      </c>
      <c r="N148" s="17" t="s">
        <v>126</v>
      </c>
      <c r="O148" s="17" t="s">
        <v>741</v>
      </c>
      <c r="P148" s="17" t="str">
        <f t="shared" si="4"/>
        <v>Yes</v>
      </c>
    </row>
    <row r="149" spans="1:16" ht="25.5" hidden="1">
      <c r="A149" s="17" t="s">
        <v>742</v>
      </c>
      <c r="B149" s="17" t="s">
        <v>713</v>
      </c>
      <c r="C149" s="17" t="s">
        <v>27</v>
      </c>
      <c r="D149" s="25" t="s">
        <v>719</v>
      </c>
      <c r="E149" s="17" t="s">
        <v>100</v>
      </c>
      <c r="F149" s="17" t="s">
        <v>715</v>
      </c>
      <c r="G149" s="17" t="s">
        <v>122</v>
      </c>
      <c r="H149" s="25" t="s">
        <v>263</v>
      </c>
      <c r="I149" s="17" t="s">
        <v>743</v>
      </c>
      <c r="J149" s="17" t="s">
        <v>105</v>
      </c>
      <c r="K149" s="17" t="s">
        <v>105</v>
      </c>
      <c r="L149" s="17" t="s">
        <v>7</v>
      </c>
      <c r="M149" s="17" t="s">
        <v>134</v>
      </c>
      <c r="N149" s="17" t="s">
        <v>135</v>
      </c>
      <c r="O149" s="17" t="s">
        <v>744</v>
      </c>
      <c r="P149" s="17" t="str">
        <f t="shared" si="4"/>
        <v>Yes</v>
      </c>
    </row>
    <row r="150" spans="1:16" ht="25.5" hidden="1">
      <c r="A150" s="17" t="s">
        <v>745</v>
      </c>
      <c r="B150" s="17" t="s">
        <v>713</v>
      </c>
      <c r="C150" s="17" t="s">
        <v>27</v>
      </c>
      <c r="D150" s="25" t="s">
        <v>724</v>
      </c>
      <c r="E150" s="17" t="s">
        <v>100</v>
      </c>
      <c r="F150" s="17" t="s">
        <v>720</v>
      </c>
      <c r="G150" s="17" t="s">
        <v>131</v>
      </c>
      <c r="H150" s="25" t="s">
        <v>269</v>
      </c>
      <c r="I150" s="17" t="s">
        <v>746</v>
      </c>
      <c r="J150" s="17" t="s">
        <v>105</v>
      </c>
      <c r="K150" s="17" t="s">
        <v>105</v>
      </c>
      <c r="L150" s="17" t="s">
        <v>7</v>
      </c>
      <c r="M150" s="17" t="s">
        <v>142</v>
      </c>
      <c r="N150" s="17" t="s">
        <v>143</v>
      </c>
      <c r="O150" s="17" t="s">
        <v>747</v>
      </c>
      <c r="P150" s="17" t="str">
        <f t="shared" si="4"/>
        <v>Yes</v>
      </c>
    </row>
    <row r="151" spans="1:16" ht="25.5" hidden="1">
      <c r="A151" s="17" t="s">
        <v>748</v>
      </c>
      <c r="B151" s="17" t="s">
        <v>713</v>
      </c>
      <c r="C151" s="17" t="s">
        <v>27</v>
      </c>
      <c r="D151" s="25" t="s">
        <v>729</v>
      </c>
      <c r="E151" s="17" t="s">
        <v>120</v>
      </c>
      <c r="F151" s="17" t="s">
        <v>725</v>
      </c>
      <c r="G151" s="17" t="s">
        <v>102</v>
      </c>
      <c r="H151" s="25" t="s">
        <v>251</v>
      </c>
      <c r="I151" s="17" t="s">
        <v>749</v>
      </c>
      <c r="J151" s="17" t="s">
        <v>105</v>
      </c>
      <c r="K151" s="17" t="s">
        <v>105</v>
      </c>
      <c r="L151" s="17" t="s">
        <v>11</v>
      </c>
      <c r="M151" s="17" t="s">
        <v>150</v>
      </c>
      <c r="N151" s="17" t="s">
        <v>151</v>
      </c>
      <c r="O151" s="17" t="s">
        <v>750</v>
      </c>
      <c r="P151" s="17" t="str">
        <f t="shared" si="4"/>
        <v>Yes</v>
      </c>
    </row>
    <row r="152" spans="1:16" ht="25.5" hidden="1">
      <c r="A152" s="17" t="s">
        <v>751</v>
      </c>
      <c r="B152" s="17" t="s">
        <v>713</v>
      </c>
      <c r="C152" s="17" t="s">
        <v>27</v>
      </c>
      <c r="D152" s="25" t="s">
        <v>734</v>
      </c>
      <c r="E152" s="17" t="s">
        <v>100</v>
      </c>
      <c r="F152" s="17" t="s">
        <v>730</v>
      </c>
      <c r="G152" s="17" t="s">
        <v>112</v>
      </c>
      <c r="H152" s="25" t="s">
        <v>257</v>
      </c>
      <c r="I152" s="17" t="s">
        <v>752</v>
      </c>
      <c r="J152" s="17" t="s">
        <v>105</v>
      </c>
      <c r="K152" s="17" t="s">
        <v>105</v>
      </c>
      <c r="L152" s="17" t="s">
        <v>7</v>
      </c>
      <c r="M152" s="17" t="s">
        <v>156</v>
      </c>
      <c r="N152" s="17" t="s">
        <v>157</v>
      </c>
      <c r="O152" s="17" t="s">
        <v>753</v>
      </c>
      <c r="P152" s="17" t="str">
        <f t="shared" si="4"/>
        <v>Yes</v>
      </c>
    </row>
    <row r="153" spans="1:16" ht="38.25" hidden="1">
      <c r="A153" s="17" t="s">
        <v>754</v>
      </c>
      <c r="B153" s="17" t="s">
        <v>713</v>
      </c>
      <c r="C153" s="17" t="s">
        <v>27</v>
      </c>
      <c r="D153" s="25" t="s">
        <v>714</v>
      </c>
      <c r="E153" s="17" t="s">
        <v>100</v>
      </c>
      <c r="F153" s="17" t="s">
        <v>735</v>
      </c>
      <c r="G153" s="17" t="s">
        <v>122</v>
      </c>
      <c r="H153" s="25" t="s">
        <v>263</v>
      </c>
      <c r="I153" s="17" t="s">
        <v>755</v>
      </c>
      <c r="J153" s="17" t="s">
        <v>105</v>
      </c>
      <c r="K153" s="17" t="s">
        <v>105</v>
      </c>
      <c r="L153" s="17" t="s">
        <v>7</v>
      </c>
      <c r="M153" s="17" t="s">
        <v>162</v>
      </c>
      <c r="N153" s="17" t="s">
        <v>163</v>
      </c>
      <c r="O153" s="17" t="s">
        <v>756</v>
      </c>
      <c r="P153" s="17" t="str">
        <f t="shared" si="4"/>
        <v>Yes</v>
      </c>
    </row>
    <row r="154" spans="1:16" ht="25.5" hidden="1">
      <c r="A154" s="17" t="s">
        <v>757</v>
      </c>
      <c r="B154" s="17" t="s">
        <v>713</v>
      </c>
      <c r="C154" s="17" t="s">
        <v>27</v>
      </c>
      <c r="D154" s="25" t="s">
        <v>719</v>
      </c>
      <c r="E154" s="17" t="s">
        <v>120</v>
      </c>
      <c r="F154" s="17" t="s">
        <v>739</v>
      </c>
      <c r="G154" s="17" t="s">
        <v>131</v>
      </c>
      <c r="H154" s="25" t="s">
        <v>269</v>
      </c>
      <c r="I154" s="17" t="s">
        <v>758</v>
      </c>
      <c r="J154" s="17" t="s">
        <v>105</v>
      </c>
      <c r="K154" s="17" t="s">
        <v>105</v>
      </c>
      <c r="L154" s="17" t="s">
        <v>7</v>
      </c>
      <c r="M154" s="17" t="s">
        <v>168</v>
      </c>
      <c r="N154" s="17" t="s">
        <v>169</v>
      </c>
      <c r="O154" s="17" t="s">
        <v>759</v>
      </c>
      <c r="P154" s="17" t="str">
        <f t="shared" si="4"/>
        <v>Yes</v>
      </c>
    </row>
    <row r="155" spans="1:16" ht="25.5" hidden="1">
      <c r="A155" s="17" t="s">
        <v>760</v>
      </c>
      <c r="B155" s="17" t="s">
        <v>713</v>
      </c>
      <c r="C155" s="17" t="s">
        <v>27</v>
      </c>
      <c r="D155" s="25" t="s">
        <v>724</v>
      </c>
      <c r="E155" s="17" t="s">
        <v>100</v>
      </c>
      <c r="F155" s="17" t="s">
        <v>715</v>
      </c>
      <c r="G155" s="17" t="s">
        <v>102</v>
      </c>
      <c r="H155" s="25" t="s">
        <v>251</v>
      </c>
      <c r="I155" s="17" t="s">
        <v>761</v>
      </c>
      <c r="J155" s="17" t="s">
        <v>105</v>
      </c>
      <c r="K155" s="17" t="s">
        <v>105</v>
      </c>
      <c r="L155" s="17" t="s">
        <v>7</v>
      </c>
      <c r="M155" s="17" t="s">
        <v>174</v>
      </c>
      <c r="N155" s="17" t="s">
        <v>175</v>
      </c>
      <c r="O155" s="17" t="s">
        <v>762</v>
      </c>
      <c r="P155" s="17" t="str">
        <f t="shared" si="4"/>
        <v>Yes</v>
      </c>
    </row>
    <row r="156" spans="1:16" ht="25.5" hidden="1">
      <c r="A156" s="17" t="s">
        <v>763</v>
      </c>
      <c r="B156" s="17" t="s">
        <v>713</v>
      </c>
      <c r="C156" s="17" t="s">
        <v>27</v>
      </c>
      <c r="D156" s="25" t="s">
        <v>729</v>
      </c>
      <c r="E156" s="17" t="s">
        <v>100</v>
      </c>
      <c r="F156" s="17" t="s">
        <v>720</v>
      </c>
      <c r="G156" s="17" t="s">
        <v>112</v>
      </c>
      <c r="H156" s="25" t="s">
        <v>257</v>
      </c>
      <c r="I156" s="17" t="s">
        <v>764</v>
      </c>
      <c r="J156" s="17" t="s">
        <v>105</v>
      </c>
      <c r="K156" s="17" t="s">
        <v>105</v>
      </c>
      <c r="L156" s="17" t="s">
        <v>11</v>
      </c>
      <c r="M156" s="17" t="s">
        <v>180</v>
      </c>
      <c r="N156" s="17" t="s">
        <v>181</v>
      </c>
      <c r="O156" s="17" t="s">
        <v>765</v>
      </c>
      <c r="P156" s="17" t="str">
        <f t="shared" si="4"/>
        <v>Yes</v>
      </c>
    </row>
    <row r="157" spans="1:16" ht="25.5" hidden="1">
      <c r="A157" s="17" t="s">
        <v>766</v>
      </c>
      <c r="B157" s="17" t="s">
        <v>713</v>
      </c>
      <c r="C157" s="17" t="s">
        <v>27</v>
      </c>
      <c r="D157" s="25" t="s">
        <v>734</v>
      </c>
      <c r="E157" s="17" t="s">
        <v>120</v>
      </c>
      <c r="F157" s="17" t="s">
        <v>725</v>
      </c>
      <c r="G157" s="17" t="s">
        <v>122</v>
      </c>
      <c r="H157" s="25" t="s">
        <v>263</v>
      </c>
      <c r="I157" s="17" t="s">
        <v>767</v>
      </c>
      <c r="J157" s="17" t="s">
        <v>105</v>
      </c>
      <c r="K157" s="17" t="s">
        <v>105</v>
      </c>
      <c r="L157" s="17" t="s">
        <v>7</v>
      </c>
      <c r="M157" s="17" t="s">
        <v>186</v>
      </c>
      <c r="N157" s="17" t="s">
        <v>187</v>
      </c>
      <c r="O157" s="17" t="s">
        <v>768</v>
      </c>
      <c r="P157" s="17" t="str">
        <f t="shared" si="4"/>
        <v>Yes</v>
      </c>
    </row>
    <row r="158" spans="1:16" ht="38.25" hidden="1">
      <c r="A158" s="17" t="s">
        <v>769</v>
      </c>
      <c r="B158" s="17" t="s">
        <v>713</v>
      </c>
      <c r="C158" s="17" t="s">
        <v>27</v>
      </c>
      <c r="D158" s="25" t="s">
        <v>714</v>
      </c>
      <c r="E158" s="17" t="s">
        <v>100</v>
      </c>
      <c r="F158" s="17" t="s">
        <v>730</v>
      </c>
      <c r="G158" s="17" t="s">
        <v>131</v>
      </c>
      <c r="H158" s="25" t="s">
        <v>269</v>
      </c>
      <c r="I158" s="17" t="s">
        <v>770</v>
      </c>
      <c r="J158" s="17" t="s">
        <v>105</v>
      </c>
      <c r="K158" s="17" t="s">
        <v>105</v>
      </c>
      <c r="L158" s="17" t="s">
        <v>7</v>
      </c>
      <c r="M158" s="17" t="s">
        <v>192</v>
      </c>
      <c r="N158" s="17" t="s">
        <v>193</v>
      </c>
      <c r="O158" s="17" t="s">
        <v>771</v>
      </c>
      <c r="P158" s="17" t="str">
        <f t="shared" si="4"/>
        <v>Yes</v>
      </c>
    </row>
    <row r="159" spans="1:16" ht="25.5" hidden="1">
      <c r="A159" s="17" t="s">
        <v>772</v>
      </c>
      <c r="B159" s="17" t="s">
        <v>713</v>
      </c>
      <c r="C159" s="17" t="s">
        <v>27</v>
      </c>
      <c r="D159" s="25" t="s">
        <v>719</v>
      </c>
      <c r="E159" s="17" t="s">
        <v>100</v>
      </c>
      <c r="F159" s="17" t="s">
        <v>735</v>
      </c>
      <c r="G159" s="17" t="s">
        <v>102</v>
      </c>
      <c r="H159" s="25" t="s">
        <v>251</v>
      </c>
      <c r="I159" s="17" t="s">
        <v>773</v>
      </c>
      <c r="J159" s="17" t="s">
        <v>105</v>
      </c>
      <c r="K159" s="17" t="s">
        <v>105</v>
      </c>
      <c r="L159" s="17" t="s">
        <v>7</v>
      </c>
      <c r="M159" s="17" t="s">
        <v>198</v>
      </c>
      <c r="N159" s="17" t="s">
        <v>199</v>
      </c>
      <c r="O159" s="17" t="s">
        <v>774</v>
      </c>
      <c r="P159" s="17" t="str">
        <f t="shared" si="4"/>
        <v>Yes</v>
      </c>
    </row>
    <row r="160" spans="1:16" ht="25.5" hidden="1">
      <c r="A160" s="17" t="s">
        <v>775</v>
      </c>
      <c r="B160" s="17" t="s">
        <v>713</v>
      </c>
      <c r="C160" s="17" t="s">
        <v>27</v>
      </c>
      <c r="D160" s="25" t="s">
        <v>724</v>
      </c>
      <c r="E160" s="17" t="s">
        <v>120</v>
      </c>
      <c r="F160" s="17" t="s">
        <v>739</v>
      </c>
      <c r="G160" s="17" t="s">
        <v>112</v>
      </c>
      <c r="H160" s="25" t="s">
        <v>257</v>
      </c>
      <c r="I160" s="17" t="s">
        <v>776</v>
      </c>
      <c r="J160" s="17" t="s">
        <v>105</v>
      </c>
      <c r="K160" s="17" t="s">
        <v>105</v>
      </c>
      <c r="L160" s="17" t="s">
        <v>7</v>
      </c>
      <c r="M160" s="17" t="s">
        <v>204</v>
      </c>
      <c r="N160" s="17" t="s">
        <v>205</v>
      </c>
      <c r="O160" s="17" t="s">
        <v>777</v>
      </c>
      <c r="P160" s="17" t="str">
        <f t="shared" si="4"/>
        <v>Yes</v>
      </c>
    </row>
    <row r="161" spans="1:16" ht="25.5" hidden="1">
      <c r="A161" s="17" t="s">
        <v>778</v>
      </c>
      <c r="B161" s="17" t="s">
        <v>779</v>
      </c>
      <c r="C161" s="17" t="s">
        <v>17</v>
      </c>
      <c r="D161" s="25" t="s">
        <v>780</v>
      </c>
      <c r="E161" s="17" t="s">
        <v>100</v>
      </c>
      <c r="F161" s="17" t="s">
        <v>781</v>
      </c>
      <c r="G161" s="17" t="s">
        <v>102</v>
      </c>
      <c r="H161" s="25" t="s">
        <v>251</v>
      </c>
      <c r="I161" s="17" t="s">
        <v>782</v>
      </c>
      <c r="J161" s="17" t="s">
        <v>105</v>
      </c>
      <c r="K161" s="17" t="s">
        <v>105</v>
      </c>
      <c r="L161" s="17" t="s">
        <v>11</v>
      </c>
      <c r="M161" s="17" t="s">
        <v>210</v>
      </c>
      <c r="N161" s="17" t="s">
        <v>211</v>
      </c>
      <c r="O161" s="17" t="s">
        <v>783</v>
      </c>
      <c r="P161" s="17" t="str">
        <f t="shared" si="4"/>
        <v>Yes</v>
      </c>
    </row>
    <row r="162" spans="1:16" ht="25.5" hidden="1">
      <c r="A162" s="17" t="s">
        <v>784</v>
      </c>
      <c r="B162" s="17" t="s">
        <v>779</v>
      </c>
      <c r="C162" s="17" t="s">
        <v>17</v>
      </c>
      <c r="D162" s="25" t="s">
        <v>785</v>
      </c>
      <c r="E162" s="17" t="s">
        <v>100</v>
      </c>
      <c r="F162" s="17" t="s">
        <v>786</v>
      </c>
      <c r="G162" s="17" t="s">
        <v>112</v>
      </c>
      <c r="H162" s="25" t="s">
        <v>257</v>
      </c>
      <c r="I162" s="17" t="s">
        <v>787</v>
      </c>
      <c r="J162" s="17" t="s">
        <v>105</v>
      </c>
      <c r="K162" s="17" t="s">
        <v>105</v>
      </c>
      <c r="L162" s="17" t="s">
        <v>7</v>
      </c>
      <c r="M162" s="17" t="s">
        <v>106</v>
      </c>
      <c r="N162" s="17" t="s">
        <v>216</v>
      </c>
      <c r="O162" s="17" t="s">
        <v>788</v>
      </c>
      <c r="P162" s="17" t="str">
        <f t="shared" ref="P162:P178" si="5">IF(L162&lt;&gt;"Complete","Yes","No")</f>
        <v>Yes</v>
      </c>
    </row>
    <row r="163" spans="1:16" ht="25.5" hidden="1">
      <c r="A163" s="17" t="s">
        <v>789</v>
      </c>
      <c r="B163" s="17" t="s">
        <v>779</v>
      </c>
      <c r="C163" s="17" t="s">
        <v>17</v>
      </c>
      <c r="D163" s="25" t="s">
        <v>790</v>
      </c>
      <c r="E163" s="17" t="s">
        <v>120</v>
      </c>
      <c r="F163" s="17" t="s">
        <v>791</v>
      </c>
      <c r="G163" s="17" t="s">
        <v>122</v>
      </c>
      <c r="H163" s="25" t="s">
        <v>263</v>
      </c>
      <c r="I163" s="17" t="s">
        <v>792</v>
      </c>
      <c r="J163" s="17" t="s">
        <v>105</v>
      </c>
      <c r="K163" s="17" t="s">
        <v>105</v>
      </c>
      <c r="L163" s="17" t="s">
        <v>7</v>
      </c>
      <c r="M163" s="17" t="s">
        <v>115</v>
      </c>
      <c r="N163" s="17" t="s">
        <v>221</v>
      </c>
      <c r="O163" s="17" t="s">
        <v>793</v>
      </c>
      <c r="P163" s="17" t="str">
        <f t="shared" si="5"/>
        <v>Yes</v>
      </c>
    </row>
    <row r="164" spans="1:16" ht="25.5" hidden="1">
      <c r="A164" s="17" t="s">
        <v>794</v>
      </c>
      <c r="B164" s="17" t="s">
        <v>779</v>
      </c>
      <c r="C164" s="17" t="s">
        <v>17</v>
      </c>
      <c r="D164" s="25" t="s">
        <v>795</v>
      </c>
      <c r="E164" s="17" t="s">
        <v>100</v>
      </c>
      <c r="F164" s="17" t="s">
        <v>796</v>
      </c>
      <c r="G164" s="17" t="s">
        <v>131</v>
      </c>
      <c r="H164" s="25" t="s">
        <v>269</v>
      </c>
      <c r="I164" s="17" t="s">
        <v>797</v>
      </c>
      <c r="J164" s="17" t="s">
        <v>105</v>
      </c>
      <c r="K164" s="17" t="s">
        <v>105</v>
      </c>
      <c r="L164" s="17" t="s">
        <v>7</v>
      </c>
      <c r="M164" s="17" t="s">
        <v>125</v>
      </c>
      <c r="N164" s="17" t="s">
        <v>107</v>
      </c>
      <c r="O164" s="17" t="s">
        <v>798</v>
      </c>
      <c r="P164" s="17" t="str">
        <f t="shared" si="5"/>
        <v>Yes</v>
      </c>
    </row>
    <row r="165" spans="1:16" ht="25.5" hidden="1">
      <c r="A165" s="17" t="s">
        <v>799</v>
      </c>
      <c r="B165" s="17" t="s">
        <v>779</v>
      </c>
      <c r="C165" s="17" t="s">
        <v>17</v>
      </c>
      <c r="D165" s="25" t="s">
        <v>800</v>
      </c>
      <c r="E165" s="17" t="s">
        <v>100</v>
      </c>
      <c r="F165" s="17" t="s">
        <v>801</v>
      </c>
      <c r="G165" s="17" t="s">
        <v>102</v>
      </c>
      <c r="H165" s="25" t="s">
        <v>251</v>
      </c>
      <c r="I165" s="17" t="s">
        <v>802</v>
      </c>
      <c r="J165" s="17" t="s">
        <v>105</v>
      </c>
      <c r="K165" s="17" t="s">
        <v>105</v>
      </c>
      <c r="L165" s="17" t="s">
        <v>7</v>
      </c>
      <c r="M165" s="17" t="s">
        <v>134</v>
      </c>
      <c r="N165" s="17" t="s">
        <v>116</v>
      </c>
      <c r="O165" s="17" t="s">
        <v>803</v>
      </c>
      <c r="P165" s="17" t="str">
        <f t="shared" si="5"/>
        <v>Yes</v>
      </c>
    </row>
    <row r="166" spans="1:16" ht="25.5" hidden="1">
      <c r="A166" s="17" t="s">
        <v>804</v>
      </c>
      <c r="B166" s="17" t="s">
        <v>779</v>
      </c>
      <c r="C166" s="17" t="s">
        <v>17</v>
      </c>
      <c r="D166" s="25" t="s">
        <v>780</v>
      </c>
      <c r="E166" s="17" t="s">
        <v>120</v>
      </c>
      <c r="F166" s="17" t="s">
        <v>805</v>
      </c>
      <c r="G166" s="17" t="s">
        <v>112</v>
      </c>
      <c r="H166" s="25" t="s">
        <v>257</v>
      </c>
      <c r="I166" s="17" t="s">
        <v>806</v>
      </c>
      <c r="J166" s="17" t="s">
        <v>364</v>
      </c>
      <c r="K166" s="17" t="s">
        <v>105</v>
      </c>
      <c r="L166" s="17" t="s">
        <v>11</v>
      </c>
      <c r="M166" s="17" t="s">
        <v>142</v>
      </c>
      <c r="N166" s="17" t="s">
        <v>126</v>
      </c>
      <c r="O166" s="17" t="s">
        <v>807</v>
      </c>
      <c r="P166" s="17" t="str">
        <f t="shared" si="5"/>
        <v>Yes</v>
      </c>
    </row>
    <row r="167" spans="1:16" ht="25.5" hidden="1">
      <c r="A167" s="17" t="s">
        <v>808</v>
      </c>
      <c r="B167" s="17" t="s">
        <v>779</v>
      </c>
      <c r="C167" s="17" t="s">
        <v>17</v>
      </c>
      <c r="D167" s="25" t="s">
        <v>785</v>
      </c>
      <c r="E167" s="17" t="s">
        <v>100</v>
      </c>
      <c r="F167" s="17" t="s">
        <v>781</v>
      </c>
      <c r="G167" s="17" t="s">
        <v>122</v>
      </c>
      <c r="H167" s="25" t="s">
        <v>263</v>
      </c>
      <c r="I167" s="17" t="s">
        <v>809</v>
      </c>
      <c r="J167" s="17" t="s">
        <v>364</v>
      </c>
      <c r="K167" s="17" t="s">
        <v>105</v>
      </c>
      <c r="L167" s="17" t="s">
        <v>7</v>
      </c>
      <c r="M167" s="17" t="s">
        <v>150</v>
      </c>
      <c r="N167" s="17" t="s">
        <v>135</v>
      </c>
      <c r="O167" s="17" t="s">
        <v>810</v>
      </c>
      <c r="P167" s="17" t="str">
        <f t="shared" si="5"/>
        <v>Yes</v>
      </c>
    </row>
    <row r="168" spans="1:16" ht="25.5" hidden="1">
      <c r="A168" s="17" t="s">
        <v>811</v>
      </c>
      <c r="B168" s="17" t="s">
        <v>779</v>
      </c>
      <c r="C168" s="17" t="s">
        <v>17</v>
      </c>
      <c r="D168" s="25" t="s">
        <v>790</v>
      </c>
      <c r="E168" s="17" t="s">
        <v>100</v>
      </c>
      <c r="F168" s="17" t="s">
        <v>786</v>
      </c>
      <c r="G168" s="17" t="s">
        <v>131</v>
      </c>
      <c r="H168" s="25" t="s">
        <v>269</v>
      </c>
      <c r="I168" s="17" t="s">
        <v>812</v>
      </c>
      <c r="J168" s="17" t="s">
        <v>364</v>
      </c>
      <c r="K168" s="17" t="s">
        <v>105</v>
      </c>
      <c r="L168" s="17" t="s">
        <v>7</v>
      </c>
      <c r="M168" s="17" t="s">
        <v>156</v>
      </c>
      <c r="N168" s="17" t="s">
        <v>143</v>
      </c>
      <c r="O168" s="17" t="s">
        <v>813</v>
      </c>
      <c r="P168" s="17" t="str">
        <f t="shared" si="5"/>
        <v>Yes</v>
      </c>
    </row>
    <row r="169" spans="1:16" ht="25.5" hidden="1">
      <c r="A169" s="17" t="s">
        <v>814</v>
      </c>
      <c r="B169" s="17" t="s">
        <v>779</v>
      </c>
      <c r="C169" s="17" t="s">
        <v>17</v>
      </c>
      <c r="D169" s="25" t="s">
        <v>795</v>
      </c>
      <c r="E169" s="17" t="s">
        <v>120</v>
      </c>
      <c r="F169" s="17" t="s">
        <v>791</v>
      </c>
      <c r="G169" s="17" t="s">
        <v>102</v>
      </c>
      <c r="H169" s="25" t="s">
        <v>251</v>
      </c>
      <c r="I169" s="17" t="s">
        <v>815</v>
      </c>
      <c r="J169" s="17" t="s">
        <v>364</v>
      </c>
      <c r="K169" s="17" t="s">
        <v>105</v>
      </c>
      <c r="L169" s="17" t="s">
        <v>7</v>
      </c>
      <c r="M169" s="17" t="s">
        <v>162</v>
      </c>
      <c r="N169" s="17" t="s">
        <v>151</v>
      </c>
      <c r="O169" s="17" t="s">
        <v>816</v>
      </c>
      <c r="P169" s="17" t="str">
        <f t="shared" si="5"/>
        <v>Yes</v>
      </c>
    </row>
    <row r="170" spans="1:16" ht="25.5" hidden="1">
      <c r="A170" s="17" t="s">
        <v>817</v>
      </c>
      <c r="B170" s="17" t="s">
        <v>779</v>
      </c>
      <c r="C170" s="17" t="s">
        <v>17</v>
      </c>
      <c r="D170" s="25" t="s">
        <v>800</v>
      </c>
      <c r="E170" s="17" t="s">
        <v>100</v>
      </c>
      <c r="F170" s="17" t="s">
        <v>796</v>
      </c>
      <c r="G170" s="17" t="s">
        <v>112</v>
      </c>
      <c r="H170" s="25" t="s">
        <v>257</v>
      </c>
      <c r="I170" s="17" t="s">
        <v>818</v>
      </c>
      <c r="J170" s="17" t="s">
        <v>364</v>
      </c>
      <c r="K170" s="17" t="s">
        <v>105</v>
      </c>
      <c r="L170" s="17" t="s">
        <v>7</v>
      </c>
      <c r="M170" s="17" t="s">
        <v>168</v>
      </c>
      <c r="N170" s="17" t="s">
        <v>157</v>
      </c>
      <c r="O170" s="17" t="s">
        <v>819</v>
      </c>
      <c r="P170" s="17" t="str">
        <f t="shared" si="5"/>
        <v>Yes</v>
      </c>
    </row>
    <row r="171" spans="1:16" ht="25.5" hidden="1">
      <c r="A171" s="17" t="s">
        <v>820</v>
      </c>
      <c r="B171" s="17" t="s">
        <v>779</v>
      </c>
      <c r="C171" s="17" t="s">
        <v>17</v>
      </c>
      <c r="D171" s="25" t="s">
        <v>780</v>
      </c>
      <c r="E171" s="17" t="s">
        <v>100</v>
      </c>
      <c r="F171" s="17" t="s">
        <v>801</v>
      </c>
      <c r="G171" s="17" t="s">
        <v>122</v>
      </c>
      <c r="H171" s="25" t="s">
        <v>263</v>
      </c>
      <c r="I171" s="17" t="s">
        <v>821</v>
      </c>
      <c r="J171" s="17" t="s">
        <v>364</v>
      </c>
      <c r="K171" s="17" t="s">
        <v>105</v>
      </c>
      <c r="L171" s="17" t="s">
        <v>11</v>
      </c>
      <c r="M171" s="17" t="s">
        <v>174</v>
      </c>
      <c r="N171" s="17" t="s">
        <v>163</v>
      </c>
      <c r="O171" s="17" t="s">
        <v>822</v>
      </c>
      <c r="P171" s="17" t="str">
        <f t="shared" si="5"/>
        <v>Yes</v>
      </c>
    </row>
    <row r="172" spans="1:16" ht="25.5" hidden="1">
      <c r="A172" s="17" t="s">
        <v>823</v>
      </c>
      <c r="B172" s="17" t="s">
        <v>779</v>
      </c>
      <c r="C172" s="17" t="s">
        <v>17</v>
      </c>
      <c r="D172" s="25" t="s">
        <v>785</v>
      </c>
      <c r="E172" s="17" t="s">
        <v>120</v>
      </c>
      <c r="F172" s="17" t="s">
        <v>805</v>
      </c>
      <c r="G172" s="17" t="s">
        <v>131</v>
      </c>
      <c r="H172" s="25" t="s">
        <v>269</v>
      </c>
      <c r="I172" s="17" t="s">
        <v>824</v>
      </c>
      <c r="J172" s="17" t="s">
        <v>364</v>
      </c>
      <c r="K172" s="17" t="s">
        <v>105</v>
      </c>
      <c r="L172" s="17" t="s">
        <v>7</v>
      </c>
      <c r="M172" s="17" t="s">
        <v>180</v>
      </c>
      <c r="N172" s="17" t="s">
        <v>169</v>
      </c>
      <c r="O172" s="17" t="s">
        <v>825</v>
      </c>
      <c r="P172" s="17" t="str">
        <f t="shared" si="5"/>
        <v>Yes</v>
      </c>
    </row>
    <row r="173" spans="1:16" ht="25.5" hidden="1">
      <c r="A173" s="17" t="s">
        <v>826</v>
      </c>
      <c r="B173" s="17" t="s">
        <v>779</v>
      </c>
      <c r="C173" s="17" t="s">
        <v>17</v>
      </c>
      <c r="D173" s="25" t="s">
        <v>790</v>
      </c>
      <c r="E173" s="17" t="s">
        <v>100</v>
      </c>
      <c r="F173" s="17" t="s">
        <v>781</v>
      </c>
      <c r="G173" s="17" t="s">
        <v>102</v>
      </c>
      <c r="H173" s="25" t="s">
        <v>251</v>
      </c>
      <c r="I173" s="17" t="s">
        <v>827</v>
      </c>
      <c r="J173" s="17" t="s">
        <v>364</v>
      </c>
      <c r="K173" s="17" t="s">
        <v>105</v>
      </c>
      <c r="L173" s="17" t="s">
        <v>7</v>
      </c>
      <c r="M173" s="17" t="s">
        <v>186</v>
      </c>
      <c r="N173" s="17" t="s">
        <v>175</v>
      </c>
      <c r="O173" s="17" t="s">
        <v>828</v>
      </c>
      <c r="P173" s="17" t="str">
        <f t="shared" si="5"/>
        <v>Yes</v>
      </c>
    </row>
    <row r="174" spans="1:16" ht="25.5" hidden="1">
      <c r="A174" s="17" t="s">
        <v>829</v>
      </c>
      <c r="B174" s="17" t="s">
        <v>779</v>
      </c>
      <c r="C174" s="17" t="s">
        <v>17</v>
      </c>
      <c r="D174" s="25" t="s">
        <v>795</v>
      </c>
      <c r="E174" s="17" t="s">
        <v>100</v>
      </c>
      <c r="F174" s="17" t="s">
        <v>786</v>
      </c>
      <c r="G174" s="17" t="s">
        <v>112</v>
      </c>
      <c r="H174" s="25" t="s">
        <v>257</v>
      </c>
      <c r="I174" s="17" t="s">
        <v>830</v>
      </c>
      <c r="J174" s="17" t="s">
        <v>364</v>
      </c>
      <c r="K174" s="17" t="s">
        <v>105</v>
      </c>
      <c r="L174" s="17" t="s">
        <v>7</v>
      </c>
      <c r="M174" s="17" t="s">
        <v>192</v>
      </c>
      <c r="N174" s="17" t="s">
        <v>181</v>
      </c>
      <c r="O174" s="17" t="s">
        <v>831</v>
      </c>
      <c r="P174" s="17" t="str">
        <f t="shared" si="5"/>
        <v>Yes</v>
      </c>
    </row>
    <row r="175" spans="1:16" ht="25.5" hidden="1">
      <c r="A175" s="17" t="s">
        <v>832</v>
      </c>
      <c r="B175" s="17" t="s">
        <v>779</v>
      </c>
      <c r="C175" s="17" t="s">
        <v>17</v>
      </c>
      <c r="D175" s="25" t="s">
        <v>800</v>
      </c>
      <c r="E175" s="17" t="s">
        <v>120</v>
      </c>
      <c r="F175" s="17" t="s">
        <v>791</v>
      </c>
      <c r="G175" s="17" t="s">
        <v>122</v>
      </c>
      <c r="H175" s="25" t="s">
        <v>263</v>
      </c>
      <c r="I175" s="17" t="s">
        <v>833</v>
      </c>
      <c r="J175" s="17" t="s">
        <v>364</v>
      </c>
      <c r="K175" s="17" t="s">
        <v>105</v>
      </c>
      <c r="L175" s="17" t="s">
        <v>7</v>
      </c>
      <c r="M175" s="17" t="s">
        <v>198</v>
      </c>
      <c r="N175" s="17" t="s">
        <v>187</v>
      </c>
      <c r="O175" s="17" t="s">
        <v>834</v>
      </c>
      <c r="P175" s="17" t="str">
        <f t="shared" si="5"/>
        <v>Yes</v>
      </c>
    </row>
    <row r="176" spans="1:16" ht="25.5" hidden="1">
      <c r="A176" s="17" t="s">
        <v>835</v>
      </c>
      <c r="B176" s="17" t="s">
        <v>779</v>
      </c>
      <c r="C176" s="17" t="s">
        <v>17</v>
      </c>
      <c r="D176" s="25" t="s">
        <v>780</v>
      </c>
      <c r="E176" s="17" t="s">
        <v>100</v>
      </c>
      <c r="F176" s="17" t="s">
        <v>796</v>
      </c>
      <c r="G176" s="17" t="s">
        <v>131</v>
      </c>
      <c r="H176" s="25" t="s">
        <v>269</v>
      </c>
      <c r="I176" s="17" t="s">
        <v>836</v>
      </c>
      <c r="J176" s="17" t="s">
        <v>364</v>
      </c>
      <c r="K176" s="17" t="s">
        <v>105</v>
      </c>
      <c r="L176" s="17" t="s">
        <v>11</v>
      </c>
      <c r="M176" s="17" t="s">
        <v>204</v>
      </c>
      <c r="N176" s="17" t="s">
        <v>193</v>
      </c>
      <c r="O176" s="17" t="s">
        <v>837</v>
      </c>
      <c r="P176" s="17" t="str">
        <f t="shared" si="5"/>
        <v>Yes</v>
      </c>
    </row>
    <row r="177" spans="1:16" ht="25.5" hidden="1">
      <c r="A177" s="17" t="s">
        <v>838</v>
      </c>
      <c r="B177" s="17" t="s">
        <v>779</v>
      </c>
      <c r="C177" s="17" t="s">
        <v>17</v>
      </c>
      <c r="D177" s="25" t="s">
        <v>785</v>
      </c>
      <c r="E177" s="17" t="s">
        <v>100</v>
      </c>
      <c r="F177" s="17" t="s">
        <v>801</v>
      </c>
      <c r="G177" s="17" t="s">
        <v>102</v>
      </c>
      <c r="H177" s="25" t="s">
        <v>251</v>
      </c>
      <c r="I177" s="17" t="s">
        <v>839</v>
      </c>
      <c r="J177" s="17" t="s">
        <v>364</v>
      </c>
      <c r="K177" s="17" t="s">
        <v>105</v>
      </c>
      <c r="L177" s="17" t="s">
        <v>7</v>
      </c>
      <c r="M177" s="17" t="s">
        <v>210</v>
      </c>
      <c r="N177" s="17" t="s">
        <v>199</v>
      </c>
      <c r="O177" s="17" t="s">
        <v>840</v>
      </c>
      <c r="P177" s="17" t="str">
        <f t="shared" si="5"/>
        <v>Yes</v>
      </c>
    </row>
    <row r="178" spans="1:16" ht="25.5" hidden="1">
      <c r="A178" s="17" t="s">
        <v>841</v>
      </c>
      <c r="B178" s="17" t="s">
        <v>779</v>
      </c>
      <c r="C178" s="17" t="s">
        <v>17</v>
      </c>
      <c r="D178" s="25" t="s">
        <v>790</v>
      </c>
      <c r="E178" s="17" t="s">
        <v>120</v>
      </c>
      <c r="F178" s="17" t="s">
        <v>805</v>
      </c>
      <c r="G178" s="17" t="s">
        <v>112</v>
      </c>
      <c r="H178" s="25" t="s">
        <v>257</v>
      </c>
      <c r="I178" s="17" t="s">
        <v>842</v>
      </c>
      <c r="J178" s="17" t="s">
        <v>364</v>
      </c>
      <c r="K178" s="17" t="s">
        <v>105</v>
      </c>
      <c r="L178" s="17" t="s">
        <v>7</v>
      </c>
      <c r="M178" s="17" t="s">
        <v>106</v>
      </c>
      <c r="N178" s="17" t="s">
        <v>205</v>
      </c>
      <c r="O178" s="17" t="s">
        <v>843</v>
      </c>
      <c r="P178" s="17" t="str">
        <f t="shared" si="5"/>
        <v>Yes</v>
      </c>
    </row>
  </sheetData>
  <autoFilter ref="A1:P178" xr:uid="{00000000-0001-0000-0300-000000000000}">
    <filterColumn colId="1">
      <filters>
        <filter val="Cybersecurity / RMF"/>
      </filters>
    </filterColumn>
  </autoFilter>
  <conditionalFormatting sqref="D2:D178">
    <cfRule type="expression" dxfId="6" priority="1">
      <formula>HIGH</formula>
    </cfRule>
  </conditionalFormatting>
  <conditionalFormatting sqref="E2:E178">
    <cfRule type="containsText" dxfId="5" priority="2" operator="containsText" text="High">
      <formula>NOT(ISERROR(SEARCH("High",E2)))</formula>
    </cfRule>
    <cfRule type="containsText" dxfId="4" priority="3" operator="containsText" text="Medium">
      <formula>NOT(ISERROR(SEARCH("Medium",E2)))</formula>
    </cfRule>
    <cfRule type="containsText" dxfId="3" priority="4" operator="containsText" text="Critical">
      <formula>NOT(ISERROR(SEARCH("Critical",E2)))</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7"/>
  <sheetViews>
    <sheetView zoomScaleNormal="100" workbookViewId="0">
      <selection activeCell="G71" sqref="G71"/>
    </sheetView>
  </sheetViews>
  <sheetFormatPr defaultRowHeight="12.75"/>
  <cols>
    <col min="1" max="1" width="7.5" style="26" bestFit="1" customWidth="1"/>
    <col min="2" max="2" width="6.375" style="26" bestFit="1" customWidth="1"/>
    <col min="3" max="3" width="34.75" style="25" bestFit="1" customWidth="1"/>
    <col min="4" max="4" width="13.375" style="26" customWidth="1"/>
    <col min="5" max="5" width="19.875" style="26" customWidth="1"/>
    <col min="6" max="6" width="13" style="26" customWidth="1"/>
    <col min="7" max="7" width="56.625" style="26" customWidth="1"/>
    <col min="8" max="8" width="11.75" style="26" bestFit="1" customWidth="1"/>
    <col min="9" max="9" width="11.5" style="26" customWidth="1"/>
    <col min="10" max="10" width="20.5" style="26" customWidth="1"/>
    <col min="11" max="16384" width="9" style="4"/>
  </cols>
  <sheetData>
    <row r="1" spans="1:26" ht="31.5">
      <c r="A1" s="10" t="s">
        <v>844</v>
      </c>
      <c r="B1" s="10" t="s">
        <v>845</v>
      </c>
      <c r="C1" s="21" t="s">
        <v>846</v>
      </c>
      <c r="D1" s="10" t="s">
        <v>847</v>
      </c>
      <c r="E1" s="10" t="s">
        <v>848</v>
      </c>
      <c r="F1" s="10" t="s">
        <v>849</v>
      </c>
      <c r="G1" s="10" t="s">
        <v>850</v>
      </c>
      <c r="H1" s="10" t="s">
        <v>851</v>
      </c>
      <c r="I1" s="10" t="s">
        <v>852</v>
      </c>
      <c r="J1" s="10" t="s">
        <v>853</v>
      </c>
      <c r="K1" s="3"/>
      <c r="L1" s="3"/>
      <c r="M1" s="3"/>
      <c r="N1" s="3"/>
      <c r="O1" s="3"/>
      <c r="P1" s="3"/>
      <c r="Q1" s="3"/>
      <c r="R1" s="3"/>
      <c r="S1" s="3"/>
      <c r="T1" s="3"/>
      <c r="U1" s="3"/>
      <c r="V1" s="3"/>
      <c r="W1" s="3"/>
      <c r="X1" s="3"/>
      <c r="Y1" s="3"/>
      <c r="Z1" s="3"/>
    </row>
    <row r="2" spans="1:26">
      <c r="A2" s="26" t="s">
        <v>854</v>
      </c>
      <c r="B2" s="26" t="s">
        <v>855</v>
      </c>
      <c r="C2" s="25" t="s">
        <v>856</v>
      </c>
      <c r="E2" s="26" t="s">
        <v>857</v>
      </c>
      <c r="F2" s="26" t="s">
        <v>7</v>
      </c>
      <c r="G2" s="26" t="s">
        <v>858</v>
      </c>
      <c r="H2" s="26" t="s">
        <v>105</v>
      </c>
      <c r="I2" s="26" t="s">
        <v>105</v>
      </c>
      <c r="J2" s="26" t="s">
        <v>859</v>
      </c>
    </row>
    <row r="3" spans="1:26">
      <c r="A3" s="26" t="s">
        <v>860</v>
      </c>
      <c r="B3" s="26" t="s">
        <v>855</v>
      </c>
      <c r="C3" s="25" t="s">
        <v>861</v>
      </c>
      <c r="E3" s="26" t="s">
        <v>857</v>
      </c>
      <c r="F3" s="26" t="s">
        <v>7</v>
      </c>
      <c r="G3" s="26" t="s">
        <v>858</v>
      </c>
      <c r="H3" s="26" t="s">
        <v>105</v>
      </c>
      <c r="I3" s="26" t="s">
        <v>105</v>
      </c>
      <c r="J3" s="26" t="s">
        <v>859</v>
      </c>
    </row>
    <row r="4" spans="1:26">
      <c r="A4" s="26" t="s">
        <v>862</v>
      </c>
      <c r="B4" s="26" t="s">
        <v>855</v>
      </c>
      <c r="C4" s="25" t="s">
        <v>863</v>
      </c>
      <c r="E4" s="26" t="s">
        <v>857</v>
      </c>
      <c r="F4" s="26" t="s">
        <v>7</v>
      </c>
      <c r="G4" s="26" t="s">
        <v>858</v>
      </c>
      <c r="H4" s="26" t="s">
        <v>105</v>
      </c>
      <c r="I4" s="26" t="s">
        <v>105</v>
      </c>
      <c r="J4" s="26" t="s">
        <v>859</v>
      </c>
    </row>
    <row r="5" spans="1:26">
      <c r="A5" s="26" t="s">
        <v>864</v>
      </c>
      <c r="B5" s="26" t="s">
        <v>865</v>
      </c>
      <c r="C5" s="25" t="s">
        <v>866</v>
      </c>
      <c r="E5" s="26" t="s">
        <v>857</v>
      </c>
      <c r="F5" s="26" t="s">
        <v>7</v>
      </c>
      <c r="G5" s="26" t="s">
        <v>858</v>
      </c>
      <c r="H5" s="26" t="s">
        <v>105</v>
      </c>
      <c r="I5" s="26" t="s">
        <v>105</v>
      </c>
      <c r="J5" s="26" t="s">
        <v>859</v>
      </c>
    </row>
    <row r="6" spans="1:26">
      <c r="A6" s="26" t="s">
        <v>867</v>
      </c>
      <c r="B6" s="26" t="s">
        <v>865</v>
      </c>
      <c r="C6" s="25" t="s">
        <v>868</v>
      </c>
      <c r="E6" s="26" t="s">
        <v>857</v>
      </c>
      <c r="F6" s="26" t="s">
        <v>7</v>
      </c>
      <c r="G6" s="26" t="s">
        <v>858</v>
      </c>
      <c r="H6" s="26" t="s">
        <v>105</v>
      </c>
      <c r="I6" s="26" t="s">
        <v>105</v>
      </c>
      <c r="J6" s="26" t="s">
        <v>859</v>
      </c>
    </row>
    <row r="7" spans="1:26">
      <c r="A7" s="26" t="s">
        <v>869</v>
      </c>
      <c r="B7" s="26" t="s">
        <v>865</v>
      </c>
      <c r="C7" s="25" t="s">
        <v>870</v>
      </c>
      <c r="E7" s="26" t="s">
        <v>857</v>
      </c>
      <c r="F7" s="26" t="s">
        <v>7</v>
      </c>
      <c r="G7" s="26" t="s">
        <v>858</v>
      </c>
      <c r="H7" s="26" t="s">
        <v>105</v>
      </c>
      <c r="I7" s="26" t="s">
        <v>105</v>
      </c>
      <c r="J7" s="26" t="s">
        <v>859</v>
      </c>
    </row>
    <row r="8" spans="1:26">
      <c r="A8" s="26" t="s">
        <v>871</v>
      </c>
      <c r="B8" s="26" t="s">
        <v>865</v>
      </c>
      <c r="C8" s="25" t="s">
        <v>872</v>
      </c>
      <c r="E8" s="26" t="s">
        <v>857</v>
      </c>
      <c r="F8" s="26" t="s">
        <v>7</v>
      </c>
      <c r="G8" s="26" t="s">
        <v>858</v>
      </c>
      <c r="H8" s="26" t="s">
        <v>105</v>
      </c>
      <c r="I8" s="26" t="s">
        <v>105</v>
      </c>
      <c r="J8" s="26" t="s">
        <v>859</v>
      </c>
    </row>
    <row r="9" spans="1:26">
      <c r="A9" s="26" t="s">
        <v>873</v>
      </c>
      <c r="B9" s="26" t="s">
        <v>874</v>
      </c>
      <c r="C9" s="25" t="s">
        <v>875</v>
      </c>
      <c r="E9" s="26" t="s">
        <v>857</v>
      </c>
      <c r="F9" s="26" t="s">
        <v>7</v>
      </c>
      <c r="G9" s="26" t="s">
        <v>858</v>
      </c>
      <c r="H9" s="26" t="s">
        <v>105</v>
      </c>
      <c r="I9" s="26" t="s">
        <v>105</v>
      </c>
      <c r="J9" s="26" t="s">
        <v>859</v>
      </c>
    </row>
    <row r="10" spans="1:26">
      <c r="A10" s="26" t="s">
        <v>876</v>
      </c>
      <c r="B10" s="26" t="s">
        <v>874</v>
      </c>
      <c r="C10" s="25" t="s">
        <v>877</v>
      </c>
      <c r="E10" s="26" t="s">
        <v>857</v>
      </c>
      <c r="F10" s="26" t="s">
        <v>7</v>
      </c>
      <c r="G10" s="26" t="s">
        <v>858</v>
      </c>
      <c r="H10" s="26" t="s">
        <v>105</v>
      </c>
      <c r="I10" s="26" t="s">
        <v>105</v>
      </c>
      <c r="J10" s="26" t="s">
        <v>859</v>
      </c>
    </row>
    <row r="11" spans="1:26">
      <c r="A11" s="26" t="s">
        <v>878</v>
      </c>
      <c r="B11" s="26" t="s">
        <v>874</v>
      </c>
      <c r="C11" s="25" t="s">
        <v>879</v>
      </c>
      <c r="E11" s="26" t="s">
        <v>857</v>
      </c>
      <c r="F11" s="26" t="s">
        <v>7</v>
      </c>
      <c r="G11" s="26" t="s">
        <v>858</v>
      </c>
      <c r="H11" s="26" t="s">
        <v>105</v>
      </c>
      <c r="I11" s="26" t="s">
        <v>105</v>
      </c>
      <c r="J11" s="26" t="s">
        <v>859</v>
      </c>
    </row>
    <row r="12" spans="1:26">
      <c r="A12" s="26" t="s">
        <v>880</v>
      </c>
      <c r="B12" s="26" t="s">
        <v>881</v>
      </c>
      <c r="C12" s="25" t="s">
        <v>882</v>
      </c>
      <c r="E12" s="26" t="s">
        <v>857</v>
      </c>
      <c r="F12" s="26" t="s">
        <v>7</v>
      </c>
      <c r="G12" s="26" t="s">
        <v>858</v>
      </c>
      <c r="H12" s="26" t="s">
        <v>883</v>
      </c>
      <c r="I12" s="26" t="s">
        <v>105</v>
      </c>
      <c r="J12" s="26" t="s">
        <v>859</v>
      </c>
    </row>
    <row r="13" spans="1:26">
      <c r="A13" s="26" t="s">
        <v>884</v>
      </c>
      <c r="B13" s="26" t="s">
        <v>881</v>
      </c>
      <c r="C13" s="25" t="s">
        <v>885</v>
      </c>
      <c r="E13" s="26" t="s">
        <v>857</v>
      </c>
      <c r="F13" s="26" t="s">
        <v>7</v>
      </c>
      <c r="G13" s="26" t="s">
        <v>858</v>
      </c>
      <c r="H13" s="26" t="s">
        <v>883</v>
      </c>
      <c r="I13" s="26" t="s">
        <v>105</v>
      </c>
      <c r="J13" s="26" t="s">
        <v>859</v>
      </c>
    </row>
    <row r="14" spans="1:26">
      <c r="A14" s="26" t="s">
        <v>886</v>
      </c>
      <c r="B14" s="26" t="s">
        <v>881</v>
      </c>
      <c r="C14" s="25" t="s">
        <v>887</v>
      </c>
      <c r="E14" s="26" t="s">
        <v>857</v>
      </c>
      <c r="F14" s="26" t="s">
        <v>7</v>
      </c>
      <c r="G14" s="26" t="s">
        <v>858</v>
      </c>
      <c r="H14" s="26" t="s">
        <v>883</v>
      </c>
      <c r="I14" s="26" t="s">
        <v>105</v>
      </c>
      <c r="J14" s="26" t="s">
        <v>859</v>
      </c>
    </row>
    <row r="15" spans="1:26">
      <c r="A15" s="26" t="s">
        <v>888</v>
      </c>
      <c r="B15" s="26" t="s">
        <v>881</v>
      </c>
      <c r="C15" s="25" t="s">
        <v>889</v>
      </c>
      <c r="E15" s="26" t="s">
        <v>857</v>
      </c>
      <c r="F15" s="26" t="s">
        <v>7</v>
      </c>
      <c r="G15" s="26" t="s">
        <v>858</v>
      </c>
      <c r="H15" s="26" t="s">
        <v>883</v>
      </c>
      <c r="I15" s="26" t="s">
        <v>105</v>
      </c>
      <c r="J15" s="26" t="s">
        <v>859</v>
      </c>
    </row>
    <row r="16" spans="1:26">
      <c r="A16" s="26" t="s">
        <v>890</v>
      </c>
      <c r="B16" s="26" t="s">
        <v>881</v>
      </c>
      <c r="C16" s="25" t="s">
        <v>891</v>
      </c>
      <c r="E16" s="26" t="s">
        <v>857</v>
      </c>
      <c r="F16" s="26" t="s">
        <v>7</v>
      </c>
      <c r="G16" s="26" t="s">
        <v>858</v>
      </c>
      <c r="H16" s="26" t="s">
        <v>883</v>
      </c>
      <c r="I16" s="26" t="s">
        <v>105</v>
      </c>
      <c r="J16" s="26" t="s">
        <v>859</v>
      </c>
    </row>
    <row r="17" spans="1:10">
      <c r="A17" s="26" t="s">
        <v>892</v>
      </c>
      <c r="B17" s="26" t="s">
        <v>881</v>
      </c>
      <c r="C17" s="25" t="s">
        <v>893</v>
      </c>
      <c r="E17" s="26" t="s">
        <v>857</v>
      </c>
      <c r="F17" s="26" t="s">
        <v>7</v>
      </c>
      <c r="G17" s="26" t="s">
        <v>858</v>
      </c>
      <c r="H17" s="26" t="s">
        <v>883</v>
      </c>
      <c r="I17" s="26" t="s">
        <v>105</v>
      </c>
      <c r="J17" s="26" t="s">
        <v>859</v>
      </c>
    </row>
    <row r="18" spans="1:10">
      <c r="A18" s="26" t="s">
        <v>894</v>
      </c>
      <c r="B18" s="26" t="s">
        <v>895</v>
      </c>
      <c r="C18" s="25" t="s">
        <v>896</v>
      </c>
      <c r="E18" s="26" t="s">
        <v>857</v>
      </c>
      <c r="F18" s="26" t="s">
        <v>7</v>
      </c>
      <c r="G18" s="26" t="s">
        <v>858</v>
      </c>
      <c r="H18" s="26" t="s">
        <v>883</v>
      </c>
      <c r="I18" s="26" t="s">
        <v>105</v>
      </c>
      <c r="J18" s="26" t="s">
        <v>859</v>
      </c>
    </row>
    <row r="19" spans="1:10">
      <c r="A19" s="26" t="s">
        <v>897</v>
      </c>
      <c r="B19" s="26" t="s">
        <v>895</v>
      </c>
      <c r="C19" s="25" t="s">
        <v>898</v>
      </c>
      <c r="E19" s="26" t="s">
        <v>857</v>
      </c>
      <c r="F19" s="26" t="s">
        <v>7</v>
      </c>
      <c r="G19" s="26" t="s">
        <v>858</v>
      </c>
      <c r="H19" s="26" t="s">
        <v>883</v>
      </c>
      <c r="I19" s="26" t="s">
        <v>105</v>
      </c>
      <c r="J19" s="26" t="s">
        <v>859</v>
      </c>
    </row>
    <row r="20" spans="1:10">
      <c r="A20" s="26" t="s">
        <v>899</v>
      </c>
      <c r="B20" s="26" t="s">
        <v>900</v>
      </c>
      <c r="C20" s="25" t="s">
        <v>901</v>
      </c>
      <c r="E20" s="26" t="s">
        <v>857</v>
      </c>
      <c r="F20" s="26" t="s">
        <v>7</v>
      </c>
      <c r="G20" s="26" t="s">
        <v>858</v>
      </c>
      <c r="H20" s="26" t="s">
        <v>883</v>
      </c>
      <c r="I20" s="26" t="s">
        <v>105</v>
      </c>
      <c r="J20" s="26" t="s">
        <v>859</v>
      </c>
    </row>
    <row r="21" spans="1:10">
      <c r="A21" s="26" t="s">
        <v>902</v>
      </c>
      <c r="B21" s="26" t="s">
        <v>900</v>
      </c>
      <c r="C21" s="25" t="s">
        <v>903</v>
      </c>
      <c r="E21" s="26" t="s">
        <v>857</v>
      </c>
      <c r="F21" s="26" t="s">
        <v>7</v>
      </c>
      <c r="G21" s="26" t="s">
        <v>858</v>
      </c>
      <c r="H21" s="26" t="s">
        <v>883</v>
      </c>
      <c r="I21" s="26" t="s">
        <v>105</v>
      </c>
      <c r="J21" s="26" t="s">
        <v>859</v>
      </c>
    </row>
    <row r="22" spans="1:10">
      <c r="A22" s="26" t="s">
        <v>904</v>
      </c>
      <c r="B22" s="26" t="s">
        <v>905</v>
      </c>
      <c r="C22" s="25" t="s">
        <v>906</v>
      </c>
      <c r="E22" s="26" t="s">
        <v>857</v>
      </c>
      <c r="F22" s="26" t="s">
        <v>7</v>
      </c>
      <c r="G22" s="26" t="s">
        <v>858</v>
      </c>
      <c r="H22" s="26" t="s">
        <v>883</v>
      </c>
      <c r="I22" s="26" t="s">
        <v>105</v>
      </c>
      <c r="J22" s="26" t="s">
        <v>859</v>
      </c>
    </row>
    <row r="23" spans="1:10">
      <c r="A23" s="26" t="s">
        <v>907</v>
      </c>
      <c r="B23" s="26" t="s">
        <v>905</v>
      </c>
      <c r="C23" s="25" t="s">
        <v>908</v>
      </c>
      <c r="E23" s="26" t="s">
        <v>857</v>
      </c>
      <c r="F23" s="26" t="s">
        <v>7</v>
      </c>
      <c r="G23" s="26" t="s">
        <v>858</v>
      </c>
      <c r="H23" s="26" t="s">
        <v>883</v>
      </c>
      <c r="I23" s="26" t="s">
        <v>105</v>
      </c>
      <c r="J23" s="26" t="s">
        <v>859</v>
      </c>
    </row>
    <row r="24" spans="1:10">
      <c r="A24" s="26" t="s">
        <v>909</v>
      </c>
      <c r="B24" s="26" t="s">
        <v>910</v>
      </c>
      <c r="C24" s="25" t="s">
        <v>911</v>
      </c>
      <c r="E24" s="26" t="s">
        <v>857</v>
      </c>
      <c r="F24" s="26" t="s">
        <v>7</v>
      </c>
      <c r="G24" s="26" t="s">
        <v>858</v>
      </c>
      <c r="H24" s="26" t="s">
        <v>883</v>
      </c>
      <c r="I24" s="26" t="s">
        <v>105</v>
      </c>
      <c r="J24" s="26" t="s">
        <v>859</v>
      </c>
    </row>
    <row r="25" spans="1:10">
      <c r="A25" s="26" t="s">
        <v>912</v>
      </c>
      <c r="B25" s="26" t="s">
        <v>913</v>
      </c>
      <c r="C25" s="25" t="s">
        <v>914</v>
      </c>
      <c r="E25" s="26" t="s">
        <v>857</v>
      </c>
      <c r="F25" s="26" t="s">
        <v>7</v>
      </c>
      <c r="G25" s="26" t="s">
        <v>858</v>
      </c>
      <c r="H25" s="26" t="s">
        <v>883</v>
      </c>
      <c r="I25" s="26" t="s">
        <v>105</v>
      </c>
      <c r="J25" s="26" t="s">
        <v>859</v>
      </c>
    </row>
    <row r="26" spans="1:10">
      <c r="A26" s="26" t="s">
        <v>915</v>
      </c>
      <c r="B26" s="26" t="s">
        <v>916</v>
      </c>
      <c r="C26" s="25" t="s">
        <v>917</v>
      </c>
      <c r="E26" s="26" t="s">
        <v>857</v>
      </c>
      <c r="F26" s="26" t="s">
        <v>7</v>
      </c>
      <c r="G26" s="26" t="s">
        <v>858</v>
      </c>
      <c r="H26" s="26" t="s">
        <v>883</v>
      </c>
      <c r="I26" s="26" t="s">
        <v>105</v>
      </c>
      <c r="J26" s="26" t="s">
        <v>859</v>
      </c>
    </row>
    <row r="27" spans="1:10">
      <c r="A27" s="26" t="s">
        <v>918</v>
      </c>
      <c r="B27" s="26" t="s">
        <v>919</v>
      </c>
      <c r="C27" s="25" t="s">
        <v>920</v>
      </c>
      <c r="E27" s="26" t="s">
        <v>857</v>
      </c>
      <c r="F27" s="26" t="s">
        <v>7</v>
      </c>
      <c r="G27" s="26" t="s">
        <v>858</v>
      </c>
      <c r="H27" s="26" t="s">
        <v>883</v>
      </c>
      <c r="I27" s="26" t="s">
        <v>105</v>
      </c>
      <c r="J27" s="26" t="s">
        <v>859</v>
      </c>
    </row>
    <row r="28" spans="1:10">
      <c r="A28" s="26" t="s">
        <v>921</v>
      </c>
      <c r="B28" s="26" t="s">
        <v>919</v>
      </c>
      <c r="C28" s="25" t="s">
        <v>922</v>
      </c>
      <c r="E28" s="26" t="s">
        <v>857</v>
      </c>
      <c r="F28" s="26" t="s">
        <v>7</v>
      </c>
      <c r="G28" s="26" t="s">
        <v>858</v>
      </c>
      <c r="H28" s="26" t="s">
        <v>883</v>
      </c>
      <c r="I28" s="26" t="s">
        <v>105</v>
      </c>
      <c r="J28" s="26" t="s">
        <v>859</v>
      </c>
    </row>
    <row r="29" spans="1:10">
      <c r="A29" s="26" t="s">
        <v>923</v>
      </c>
      <c r="B29" s="26" t="s">
        <v>924</v>
      </c>
      <c r="C29" s="25" t="s">
        <v>925</v>
      </c>
      <c r="E29" s="26" t="s">
        <v>857</v>
      </c>
      <c r="F29" s="26" t="s">
        <v>7</v>
      </c>
      <c r="G29" s="26" t="s">
        <v>858</v>
      </c>
      <c r="H29" s="26" t="s">
        <v>105</v>
      </c>
      <c r="I29" s="26" t="s">
        <v>105</v>
      </c>
      <c r="J29" s="26" t="s">
        <v>859</v>
      </c>
    </row>
    <row r="30" spans="1:10">
      <c r="A30" s="26" t="s">
        <v>926</v>
      </c>
      <c r="B30" s="26" t="s">
        <v>924</v>
      </c>
      <c r="C30" s="25" t="s">
        <v>927</v>
      </c>
      <c r="E30" s="26" t="s">
        <v>857</v>
      </c>
      <c r="F30" s="26" t="s">
        <v>7</v>
      </c>
      <c r="G30" s="26" t="s">
        <v>858</v>
      </c>
      <c r="H30" s="26" t="s">
        <v>105</v>
      </c>
      <c r="I30" s="26" t="s">
        <v>105</v>
      </c>
      <c r="J30" s="26" t="s">
        <v>859</v>
      </c>
    </row>
    <row r="31" spans="1:10">
      <c r="A31" s="26" t="s">
        <v>928</v>
      </c>
      <c r="B31" s="26" t="s">
        <v>924</v>
      </c>
      <c r="C31" s="25" t="s">
        <v>929</v>
      </c>
      <c r="E31" s="26" t="s">
        <v>857</v>
      </c>
      <c r="F31" s="26" t="s">
        <v>7</v>
      </c>
      <c r="G31" s="26" t="s">
        <v>858</v>
      </c>
      <c r="H31" s="26" t="s">
        <v>105</v>
      </c>
      <c r="I31" s="26" t="s">
        <v>105</v>
      </c>
      <c r="J31" s="26" t="s">
        <v>859</v>
      </c>
    </row>
    <row r="32" spans="1:10">
      <c r="A32" s="26" t="s">
        <v>930</v>
      </c>
      <c r="B32" s="26" t="s">
        <v>924</v>
      </c>
      <c r="C32" s="25" t="s">
        <v>931</v>
      </c>
      <c r="E32" s="26" t="s">
        <v>857</v>
      </c>
      <c r="F32" s="26" t="s">
        <v>7</v>
      </c>
      <c r="G32" s="26" t="s">
        <v>858</v>
      </c>
      <c r="H32" s="26" t="s">
        <v>105</v>
      </c>
      <c r="I32" s="26" t="s">
        <v>105</v>
      </c>
      <c r="J32" s="26" t="s">
        <v>859</v>
      </c>
    </row>
    <row r="33" spans="1:10">
      <c r="A33" s="26" t="s">
        <v>932</v>
      </c>
      <c r="B33" s="26" t="s">
        <v>924</v>
      </c>
      <c r="C33" s="25" t="s">
        <v>933</v>
      </c>
      <c r="E33" s="26" t="s">
        <v>857</v>
      </c>
      <c r="F33" s="26" t="s">
        <v>7</v>
      </c>
      <c r="G33" s="26" t="s">
        <v>858</v>
      </c>
      <c r="H33" s="26" t="s">
        <v>105</v>
      </c>
      <c r="I33" s="26" t="s">
        <v>105</v>
      </c>
      <c r="J33" s="26" t="s">
        <v>859</v>
      </c>
    </row>
    <row r="34" spans="1:10">
      <c r="A34" s="26" t="s">
        <v>934</v>
      </c>
      <c r="B34" s="26" t="s">
        <v>935</v>
      </c>
      <c r="C34" s="25" t="s">
        <v>936</v>
      </c>
      <c r="E34" s="26" t="s">
        <v>857</v>
      </c>
      <c r="F34" s="26" t="s">
        <v>7</v>
      </c>
      <c r="G34" s="26" t="s">
        <v>858</v>
      </c>
      <c r="H34" s="26" t="s">
        <v>105</v>
      </c>
      <c r="I34" s="26" t="s">
        <v>105</v>
      </c>
      <c r="J34" s="26" t="s">
        <v>859</v>
      </c>
    </row>
    <row r="35" spans="1:10">
      <c r="A35" s="26" t="s">
        <v>937</v>
      </c>
      <c r="B35" s="26" t="s">
        <v>935</v>
      </c>
      <c r="C35" s="25" t="s">
        <v>938</v>
      </c>
      <c r="E35" s="26" t="s">
        <v>857</v>
      </c>
      <c r="F35" s="26" t="s">
        <v>7</v>
      </c>
      <c r="G35" s="26" t="s">
        <v>858</v>
      </c>
      <c r="H35" s="26" t="s">
        <v>105</v>
      </c>
      <c r="I35" s="26" t="s">
        <v>105</v>
      </c>
      <c r="J35" s="26" t="s">
        <v>859</v>
      </c>
    </row>
    <row r="36" spans="1:10">
      <c r="A36" s="26" t="s">
        <v>939</v>
      </c>
      <c r="B36" s="26" t="s">
        <v>935</v>
      </c>
      <c r="C36" s="25" t="s">
        <v>940</v>
      </c>
      <c r="E36" s="26" t="s">
        <v>857</v>
      </c>
      <c r="F36" s="26" t="s">
        <v>7</v>
      </c>
      <c r="G36" s="26" t="s">
        <v>858</v>
      </c>
      <c r="H36" s="26" t="s">
        <v>105</v>
      </c>
      <c r="I36" s="26" t="s">
        <v>105</v>
      </c>
      <c r="J36" s="26" t="s">
        <v>859</v>
      </c>
    </row>
    <row r="37" spans="1:10">
      <c r="A37" s="26" t="s">
        <v>941</v>
      </c>
      <c r="B37" s="26" t="s">
        <v>935</v>
      </c>
      <c r="C37" s="25" t="s">
        <v>942</v>
      </c>
      <c r="E37" s="26" t="s">
        <v>857</v>
      </c>
      <c r="F37" s="26" t="s">
        <v>7</v>
      </c>
      <c r="G37" s="26" t="s">
        <v>858</v>
      </c>
      <c r="H37" s="26" t="s">
        <v>105</v>
      </c>
      <c r="I37" s="26" t="s">
        <v>105</v>
      </c>
      <c r="J37" s="26" t="s">
        <v>859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78"/>
  <sheetViews>
    <sheetView workbookViewId="0">
      <selection activeCell="H67" sqref="H67"/>
    </sheetView>
  </sheetViews>
  <sheetFormatPr defaultRowHeight="12.75"/>
  <cols>
    <col min="1" max="1" width="12.875" style="17" customWidth="1"/>
    <col min="2" max="2" width="13.5" style="17" customWidth="1"/>
    <col min="3" max="3" width="17" style="17" customWidth="1"/>
    <col min="4" max="4" width="23" style="17" customWidth="1"/>
    <col min="5" max="5" width="12.75" style="17" customWidth="1"/>
    <col min="6" max="6" width="12.25" style="17" customWidth="1"/>
    <col min="7" max="7" width="7.75" style="17" customWidth="1"/>
    <col min="8" max="8" width="13.75" style="17" customWidth="1"/>
    <col min="9" max="9" width="12" style="17" customWidth="1"/>
    <col min="10" max="10" width="11.625" style="17" customWidth="1"/>
    <col min="11" max="11" width="20.625" style="17" customWidth="1"/>
    <col min="12" max="12" width="22" style="17" customWidth="1"/>
    <col min="13" max="14" width="18" style="4" customWidth="1"/>
    <col min="15" max="16384" width="9" style="4"/>
  </cols>
  <sheetData>
    <row r="1" spans="1:26" ht="15.75">
      <c r="A1" s="10" t="s">
        <v>943</v>
      </c>
      <c r="B1" s="10" t="s">
        <v>944</v>
      </c>
      <c r="C1" s="10" t="s">
        <v>945</v>
      </c>
      <c r="D1" s="10" t="s">
        <v>946</v>
      </c>
      <c r="E1" s="10" t="s">
        <v>947</v>
      </c>
      <c r="F1" s="10" t="s">
        <v>2</v>
      </c>
      <c r="G1" s="10" t="s">
        <v>948</v>
      </c>
      <c r="H1" s="10" t="s">
        <v>949</v>
      </c>
      <c r="I1" s="10" t="s">
        <v>950</v>
      </c>
      <c r="J1" s="10" t="s">
        <v>3</v>
      </c>
      <c r="K1" s="10" t="s">
        <v>951</v>
      </c>
      <c r="L1" s="10" t="s">
        <v>952</v>
      </c>
      <c r="M1" s="3"/>
      <c r="N1" s="3"/>
      <c r="O1" s="3"/>
      <c r="P1" s="3"/>
      <c r="Q1" s="3"/>
      <c r="R1" s="3"/>
      <c r="S1" s="3"/>
      <c r="T1" s="3"/>
      <c r="U1" s="3"/>
      <c r="V1" s="3"/>
      <c r="W1" s="3"/>
      <c r="X1" s="3"/>
      <c r="Y1" s="3"/>
      <c r="Z1" s="3"/>
    </row>
    <row r="2" spans="1:26">
      <c r="A2" s="17" t="s">
        <v>104</v>
      </c>
      <c r="B2" s="17" t="s">
        <v>97</v>
      </c>
      <c r="C2" s="17" t="s">
        <v>101</v>
      </c>
      <c r="D2" s="17" t="s">
        <v>953</v>
      </c>
      <c r="E2" s="17" t="s">
        <v>954</v>
      </c>
      <c r="F2" s="17" t="s">
        <v>17</v>
      </c>
      <c r="G2" s="17" t="s">
        <v>955</v>
      </c>
      <c r="H2" s="17" t="s">
        <v>956</v>
      </c>
      <c r="I2" s="16">
        <v>46164</v>
      </c>
      <c r="J2" s="17" t="s">
        <v>11</v>
      </c>
      <c r="K2" s="17" t="s">
        <v>957</v>
      </c>
    </row>
    <row r="3" spans="1:26">
      <c r="A3" s="17" t="s">
        <v>114</v>
      </c>
      <c r="B3" s="17" t="s">
        <v>109</v>
      </c>
      <c r="C3" s="17" t="s">
        <v>111</v>
      </c>
      <c r="D3" s="17" t="s">
        <v>958</v>
      </c>
      <c r="E3" s="17" t="s">
        <v>959</v>
      </c>
      <c r="F3" s="17" t="s">
        <v>17</v>
      </c>
      <c r="G3" s="17" t="s">
        <v>955</v>
      </c>
      <c r="H3" s="17" t="s">
        <v>956</v>
      </c>
      <c r="I3" s="16">
        <v>46171</v>
      </c>
      <c r="J3" s="17" t="s">
        <v>11</v>
      </c>
      <c r="K3" s="17" t="s">
        <v>960</v>
      </c>
    </row>
    <row r="4" spans="1:26">
      <c r="A4" s="17" t="s">
        <v>124</v>
      </c>
      <c r="B4" s="17" t="s">
        <v>118</v>
      </c>
      <c r="C4" s="17" t="s">
        <v>121</v>
      </c>
      <c r="D4" s="17" t="s">
        <v>961</v>
      </c>
      <c r="E4" s="17" t="s">
        <v>962</v>
      </c>
      <c r="F4" s="17" t="s">
        <v>17</v>
      </c>
      <c r="G4" s="17" t="s">
        <v>963</v>
      </c>
      <c r="H4" s="17" t="s">
        <v>956</v>
      </c>
      <c r="I4" s="16">
        <v>46178</v>
      </c>
      <c r="J4" s="17" t="s">
        <v>11</v>
      </c>
      <c r="K4" s="17" t="s">
        <v>964</v>
      </c>
    </row>
    <row r="5" spans="1:26">
      <c r="A5" s="17" t="s">
        <v>133</v>
      </c>
      <c r="B5" s="17" t="s">
        <v>128</v>
      </c>
      <c r="C5" s="17" t="s">
        <v>130</v>
      </c>
      <c r="D5" s="17" t="s">
        <v>965</v>
      </c>
      <c r="E5" s="17" t="s">
        <v>966</v>
      </c>
      <c r="F5" s="17" t="s">
        <v>17</v>
      </c>
      <c r="G5" s="17" t="s">
        <v>955</v>
      </c>
      <c r="H5" s="17" t="s">
        <v>956</v>
      </c>
      <c r="I5" s="16">
        <v>46185</v>
      </c>
      <c r="J5" s="17" t="s">
        <v>11</v>
      </c>
      <c r="K5" s="17" t="s">
        <v>967</v>
      </c>
    </row>
    <row r="6" spans="1:26">
      <c r="A6" s="17" t="s">
        <v>141</v>
      </c>
      <c r="B6" s="17" t="s">
        <v>137</v>
      </c>
      <c r="C6" s="17" t="s">
        <v>139</v>
      </c>
      <c r="D6" s="17" t="s">
        <v>968</v>
      </c>
      <c r="E6" s="17" t="s">
        <v>969</v>
      </c>
      <c r="F6" s="17" t="s">
        <v>17</v>
      </c>
      <c r="G6" s="17" t="s">
        <v>955</v>
      </c>
      <c r="H6" s="17" t="s">
        <v>956</v>
      </c>
      <c r="I6" s="16">
        <v>46192</v>
      </c>
      <c r="J6" s="17" t="s">
        <v>11</v>
      </c>
      <c r="K6" s="17" t="s">
        <v>970</v>
      </c>
    </row>
    <row r="7" spans="1:26">
      <c r="A7" s="17" t="s">
        <v>149</v>
      </c>
      <c r="B7" s="17" t="s">
        <v>145</v>
      </c>
      <c r="C7" s="17" t="s">
        <v>147</v>
      </c>
      <c r="D7" s="17" t="s">
        <v>971</v>
      </c>
      <c r="E7" s="17" t="s">
        <v>972</v>
      </c>
      <c r="F7" s="17" t="s">
        <v>17</v>
      </c>
      <c r="G7" s="17" t="s">
        <v>963</v>
      </c>
      <c r="H7" s="17" t="s">
        <v>956</v>
      </c>
      <c r="I7" s="16">
        <v>46199</v>
      </c>
      <c r="J7" s="17" t="s">
        <v>11</v>
      </c>
      <c r="K7" s="17" t="s">
        <v>973</v>
      </c>
    </row>
    <row r="8" spans="1:26">
      <c r="A8" s="17" t="s">
        <v>155</v>
      </c>
      <c r="B8" s="17" t="s">
        <v>153</v>
      </c>
      <c r="C8" s="17" t="s">
        <v>101</v>
      </c>
      <c r="D8" s="17" t="s">
        <v>974</v>
      </c>
      <c r="E8" s="17" t="s">
        <v>975</v>
      </c>
      <c r="F8" s="17" t="s">
        <v>17</v>
      </c>
      <c r="G8" s="17" t="s">
        <v>955</v>
      </c>
      <c r="H8" s="17" t="s">
        <v>956</v>
      </c>
      <c r="I8" s="16">
        <v>46206</v>
      </c>
      <c r="J8" s="17" t="s">
        <v>11</v>
      </c>
      <c r="K8" s="17" t="s">
        <v>976</v>
      </c>
    </row>
    <row r="9" spans="1:26">
      <c r="A9" s="17" t="s">
        <v>161</v>
      </c>
      <c r="B9" s="17" t="s">
        <v>159</v>
      </c>
      <c r="C9" s="17" t="s">
        <v>111</v>
      </c>
      <c r="D9" s="17" t="s">
        <v>977</v>
      </c>
      <c r="E9" s="17" t="s">
        <v>978</v>
      </c>
      <c r="F9" s="17" t="s">
        <v>17</v>
      </c>
      <c r="G9" s="17" t="s">
        <v>955</v>
      </c>
      <c r="H9" s="17" t="s">
        <v>956</v>
      </c>
      <c r="I9" s="16">
        <v>46213</v>
      </c>
      <c r="J9" s="17" t="s">
        <v>11</v>
      </c>
      <c r="K9" s="17" t="s">
        <v>979</v>
      </c>
    </row>
    <row r="10" spans="1:26">
      <c r="A10" s="17" t="s">
        <v>167</v>
      </c>
      <c r="B10" s="17" t="s">
        <v>165</v>
      </c>
      <c r="C10" s="17" t="s">
        <v>121</v>
      </c>
      <c r="D10" s="17" t="s">
        <v>980</v>
      </c>
      <c r="E10" s="17" t="s">
        <v>954</v>
      </c>
      <c r="F10" s="17" t="s">
        <v>17</v>
      </c>
      <c r="G10" s="17" t="s">
        <v>963</v>
      </c>
      <c r="H10" s="17" t="s">
        <v>956</v>
      </c>
      <c r="I10" s="16">
        <v>46220</v>
      </c>
      <c r="J10" s="17" t="s">
        <v>11</v>
      </c>
      <c r="K10" s="17" t="s">
        <v>981</v>
      </c>
    </row>
    <row r="11" spans="1:26">
      <c r="A11" s="17" t="s">
        <v>173</v>
      </c>
      <c r="B11" s="17" t="s">
        <v>171</v>
      </c>
      <c r="C11" s="17" t="s">
        <v>130</v>
      </c>
      <c r="D11" s="17" t="s">
        <v>982</v>
      </c>
      <c r="E11" s="17" t="s">
        <v>959</v>
      </c>
      <c r="F11" s="17" t="s">
        <v>17</v>
      </c>
      <c r="G11" s="17" t="s">
        <v>955</v>
      </c>
      <c r="H11" s="17" t="s">
        <v>956</v>
      </c>
      <c r="I11" s="16">
        <v>46227</v>
      </c>
      <c r="J11" s="17" t="s">
        <v>11</v>
      </c>
      <c r="K11" s="17" t="s">
        <v>983</v>
      </c>
    </row>
    <row r="12" spans="1:26">
      <c r="A12" s="17" t="s">
        <v>179</v>
      </c>
      <c r="B12" s="17" t="s">
        <v>177</v>
      </c>
      <c r="C12" s="17" t="s">
        <v>139</v>
      </c>
      <c r="D12" s="17" t="s">
        <v>984</v>
      </c>
      <c r="E12" s="17" t="s">
        <v>962</v>
      </c>
      <c r="F12" s="17" t="s">
        <v>17</v>
      </c>
      <c r="G12" s="17" t="s">
        <v>955</v>
      </c>
      <c r="H12" s="17" t="s">
        <v>956</v>
      </c>
      <c r="I12" s="16">
        <v>46234</v>
      </c>
      <c r="J12" s="17" t="s">
        <v>11</v>
      </c>
      <c r="K12" s="17" t="s">
        <v>985</v>
      </c>
    </row>
    <row r="13" spans="1:26">
      <c r="A13" s="17" t="s">
        <v>185</v>
      </c>
      <c r="B13" s="17" t="s">
        <v>183</v>
      </c>
      <c r="C13" s="17" t="s">
        <v>147</v>
      </c>
      <c r="D13" s="17" t="s">
        <v>986</v>
      </c>
      <c r="E13" s="17" t="s">
        <v>966</v>
      </c>
      <c r="F13" s="17" t="s">
        <v>17</v>
      </c>
      <c r="G13" s="17" t="s">
        <v>963</v>
      </c>
      <c r="H13" s="17" t="s">
        <v>956</v>
      </c>
      <c r="I13" s="16">
        <v>46241</v>
      </c>
      <c r="J13" s="17" t="s">
        <v>11</v>
      </c>
      <c r="K13" s="17" t="s">
        <v>987</v>
      </c>
    </row>
    <row r="14" spans="1:26">
      <c r="A14" s="17" t="s">
        <v>191</v>
      </c>
      <c r="B14" s="17" t="s">
        <v>189</v>
      </c>
      <c r="C14" s="17" t="s">
        <v>101</v>
      </c>
      <c r="D14" s="17" t="s">
        <v>988</v>
      </c>
      <c r="E14" s="17" t="s">
        <v>969</v>
      </c>
      <c r="F14" s="17" t="s">
        <v>17</v>
      </c>
      <c r="G14" s="17" t="s">
        <v>955</v>
      </c>
      <c r="H14" s="17" t="s">
        <v>956</v>
      </c>
      <c r="I14" s="16">
        <v>46248</v>
      </c>
      <c r="J14" s="17" t="s">
        <v>11</v>
      </c>
      <c r="K14" s="17" t="s">
        <v>989</v>
      </c>
    </row>
    <row r="15" spans="1:26">
      <c r="A15" s="17" t="s">
        <v>197</v>
      </c>
      <c r="B15" s="17" t="s">
        <v>195</v>
      </c>
      <c r="C15" s="17" t="s">
        <v>111</v>
      </c>
      <c r="D15" s="17" t="s">
        <v>990</v>
      </c>
      <c r="E15" s="17" t="s">
        <v>972</v>
      </c>
      <c r="F15" s="17" t="s">
        <v>17</v>
      </c>
      <c r="G15" s="17" t="s">
        <v>955</v>
      </c>
      <c r="H15" s="17" t="s">
        <v>956</v>
      </c>
      <c r="I15" s="16">
        <v>46255</v>
      </c>
      <c r="J15" s="17" t="s">
        <v>11</v>
      </c>
      <c r="K15" s="17" t="s">
        <v>991</v>
      </c>
    </row>
    <row r="16" spans="1:26">
      <c r="A16" s="17" t="s">
        <v>203</v>
      </c>
      <c r="B16" s="17" t="s">
        <v>201</v>
      </c>
      <c r="C16" s="17" t="s">
        <v>121</v>
      </c>
      <c r="D16" s="17" t="s">
        <v>992</v>
      </c>
      <c r="E16" s="17" t="s">
        <v>975</v>
      </c>
      <c r="F16" s="17" t="s">
        <v>17</v>
      </c>
      <c r="G16" s="17" t="s">
        <v>963</v>
      </c>
      <c r="H16" s="17" t="s">
        <v>956</v>
      </c>
      <c r="I16" s="16">
        <v>46262</v>
      </c>
      <c r="J16" s="17" t="s">
        <v>11</v>
      </c>
      <c r="K16" s="17" t="s">
        <v>993</v>
      </c>
    </row>
    <row r="17" spans="1:11">
      <c r="A17" s="17" t="s">
        <v>209</v>
      </c>
      <c r="B17" s="17" t="s">
        <v>207</v>
      </c>
      <c r="C17" s="17" t="s">
        <v>130</v>
      </c>
      <c r="D17" s="17" t="s">
        <v>994</v>
      </c>
      <c r="E17" s="17" t="s">
        <v>978</v>
      </c>
      <c r="F17" s="17" t="s">
        <v>17</v>
      </c>
      <c r="G17" s="17" t="s">
        <v>955</v>
      </c>
      <c r="H17" s="17" t="s">
        <v>956</v>
      </c>
      <c r="I17" s="16">
        <v>46269</v>
      </c>
      <c r="J17" s="17" t="s">
        <v>11</v>
      </c>
      <c r="K17" s="17" t="s">
        <v>995</v>
      </c>
    </row>
    <row r="18" spans="1:11">
      <c r="A18" s="17" t="s">
        <v>215</v>
      </c>
      <c r="B18" s="17" t="s">
        <v>213</v>
      </c>
      <c r="C18" s="17" t="s">
        <v>139</v>
      </c>
      <c r="D18" s="17" t="s">
        <v>996</v>
      </c>
      <c r="E18" s="17" t="s">
        <v>954</v>
      </c>
      <c r="F18" s="17" t="s">
        <v>17</v>
      </c>
      <c r="G18" s="17" t="s">
        <v>955</v>
      </c>
      <c r="H18" s="17" t="s">
        <v>956</v>
      </c>
      <c r="I18" s="16">
        <v>46276</v>
      </c>
      <c r="J18" s="17" t="s">
        <v>11</v>
      </c>
      <c r="K18" s="17" t="s">
        <v>997</v>
      </c>
    </row>
    <row r="19" spans="1:11">
      <c r="A19" s="17" t="s">
        <v>220</v>
      </c>
      <c r="B19" s="17" t="s">
        <v>218</v>
      </c>
      <c r="C19" s="17" t="s">
        <v>147</v>
      </c>
      <c r="D19" s="17" t="s">
        <v>998</v>
      </c>
      <c r="E19" s="17" t="s">
        <v>959</v>
      </c>
      <c r="F19" s="17" t="s">
        <v>17</v>
      </c>
      <c r="G19" s="17" t="s">
        <v>963</v>
      </c>
      <c r="H19" s="17" t="s">
        <v>956</v>
      </c>
      <c r="I19" s="16">
        <v>46283</v>
      </c>
      <c r="J19" s="17" t="s">
        <v>11</v>
      </c>
      <c r="K19" s="17" t="s">
        <v>999</v>
      </c>
    </row>
    <row r="20" spans="1:11">
      <c r="A20" s="17" t="s">
        <v>225</v>
      </c>
      <c r="B20" s="17" t="s">
        <v>223</v>
      </c>
      <c r="C20" s="17" t="s">
        <v>101</v>
      </c>
      <c r="D20" s="17" t="s">
        <v>1000</v>
      </c>
      <c r="E20" s="17" t="s">
        <v>962</v>
      </c>
      <c r="F20" s="17" t="s">
        <v>17</v>
      </c>
      <c r="G20" s="17" t="s">
        <v>955</v>
      </c>
      <c r="H20" s="17" t="s">
        <v>956</v>
      </c>
      <c r="I20" s="16">
        <v>46290</v>
      </c>
      <c r="J20" s="17" t="s">
        <v>11</v>
      </c>
      <c r="K20" s="17" t="s">
        <v>1001</v>
      </c>
    </row>
    <row r="21" spans="1:11">
      <c r="A21" s="17" t="s">
        <v>229</v>
      </c>
      <c r="B21" s="17" t="s">
        <v>227</v>
      </c>
      <c r="C21" s="17" t="s">
        <v>111</v>
      </c>
      <c r="D21" s="17" t="s">
        <v>1002</v>
      </c>
      <c r="E21" s="17" t="s">
        <v>966</v>
      </c>
      <c r="F21" s="17" t="s">
        <v>17</v>
      </c>
      <c r="G21" s="17" t="s">
        <v>955</v>
      </c>
      <c r="H21" s="17" t="s">
        <v>956</v>
      </c>
      <c r="I21" s="16">
        <v>46297</v>
      </c>
      <c r="J21" s="17" t="s">
        <v>11</v>
      </c>
      <c r="K21" s="17" t="s">
        <v>1003</v>
      </c>
    </row>
    <row r="22" spans="1:11">
      <c r="A22" s="17" t="s">
        <v>233</v>
      </c>
      <c r="B22" s="17" t="s">
        <v>231</v>
      </c>
      <c r="C22" s="17" t="s">
        <v>121</v>
      </c>
      <c r="D22" s="17" t="s">
        <v>1004</v>
      </c>
      <c r="E22" s="17" t="s">
        <v>969</v>
      </c>
      <c r="F22" s="17" t="s">
        <v>17</v>
      </c>
      <c r="G22" s="17" t="s">
        <v>963</v>
      </c>
      <c r="H22" s="17" t="s">
        <v>956</v>
      </c>
      <c r="I22" s="16">
        <v>46304</v>
      </c>
      <c r="J22" s="17" t="s">
        <v>11</v>
      </c>
      <c r="K22" s="17" t="s">
        <v>1005</v>
      </c>
    </row>
    <row r="23" spans="1:11">
      <c r="A23" s="17" t="s">
        <v>237</v>
      </c>
      <c r="B23" s="17" t="s">
        <v>235</v>
      </c>
      <c r="C23" s="17" t="s">
        <v>130</v>
      </c>
      <c r="D23" s="17" t="s">
        <v>1006</v>
      </c>
      <c r="E23" s="17" t="s">
        <v>972</v>
      </c>
      <c r="F23" s="17" t="s">
        <v>17</v>
      </c>
      <c r="G23" s="17" t="s">
        <v>955</v>
      </c>
      <c r="H23" s="17" t="s">
        <v>956</v>
      </c>
      <c r="I23" s="16">
        <v>46311</v>
      </c>
      <c r="J23" s="17" t="s">
        <v>11</v>
      </c>
      <c r="K23" s="17" t="s">
        <v>1007</v>
      </c>
    </row>
    <row r="24" spans="1:11">
      <c r="A24" s="17" t="s">
        <v>241</v>
      </c>
      <c r="B24" s="17" t="s">
        <v>239</v>
      </c>
      <c r="C24" s="17" t="s">
        <v>139</v>
      </c>
      <c r="D24" s="17" t="s">
        <v>1008</v>
      </c>
      <c r="E24" s="17" t="s">
        <v>975</v>
      </c>
      <c r="F24" s="17" t="s">
        <v>17</v>
      </c>
      <c r="G24" s="17" t="s">
        <v>955</v>
      </c>
      <c r="H24" s="17" t="s">
        <v>956</v>
      </c>
      <c r="I24" s="16">
        <v>46318</v>
      </c>
      <c r="J24" s="17" t="s">
        <v>11</v>
      </c>
      <c r="K24" s="17" t="s">
        <v>1009</v>
      </c>
    </row>
    <row r="25" spans="1:11">
      <c r="A25" s="17" t="s">
        <v>245</v>
      </c>
      <c r="B25" s="17" t="s">
        <v>243</v>
      </c>
      <c r="C25" s="17" t="s">
        <v>147</v>
      </c>
      <c r="D25" s="17" t="s">
        <v>1010</v>
      </c>
      <c r="E25" s="17" t="s">
        <v>978</v>
      </c>
      <c r="F25" s="17" t="s">
        <v>17</v>
      </c>
      <c r="G25" s="17" t="s">
        <v>963</v>
      </c>
      <c r="H25" s="17" t="s">
        <v>956</v>
      </c>
      <c r="I25" s="16">
        <v>46157</v>
      </c>
      <c r="J25" s="17" t="s">
        <v>11</v>
      </c>
      <c r="K25" s="17" t="s">
        <v>1011</v>
      </c>
    </row>
    <row r="26" spans="1:11">
      <c r="A26" s="17" t="s">
        <v>252</v>
      </c>
      <c r="B26" s="17" t="s">
        <v>247</v>
      </c>
      <c r="C26" s="17" t="s">
        <v>250</v>
      </c>
      <c r="D26" s="17" t="s">
        <v>1012</v>
      </c>
      <c r="E26" s="17" t="s">
        <v>954</v>
      </c>
      <c r="F26" s="17" t="s">
        <v>17</v>
      </c>
      <c r="G26" s="17" t="s">
        <v>955</v>
      </c>
      <c r="H26" s="17" t="s">
        <v>956</v>
      </c>
      <c r="I26" s="16">
        <v>46164</v>
      </c>
      <c r="J26" s="17" t="s">
        <v>11</v>
      </c>
      <c r="K26" s="17" t="s">
        <v>1013</v>
      </c>
    </row>
    <row r="27" spans="1:11">
      <c r="A27" s="17" t="s">
        <v>258</v>
      </c>
      <c r="B27" s="17" t="s">
        <v>254</v>
      </c>
      <c r="C27" s="17" t="s">
        <v>256</v>
      </c>
      <c r="D27" s="17" t="s">
        <v>1014</v>
      </c>
      <c r="E27" s="17" t="s">
        <v>959</v>
      </c>
      <c r="F27" s="17" t="s">
        <v>17</v>
      </c>
      <c r="G27" s="17" t="s">
        <v>955</v>
      </c>
      <c r="H27" s="17" t="s">
        <v>956</v>
      </c>
      <c r="I27" s="16">
        <v>46171</v>
      </c>
      <c r="J27" s="17" t="s">
        <v>11</v>
      </c>
      <c r="K27" s="17" t="s">
        <v>1015</v>
      </c>
    </row>
    <row r="28" spans="1:11">
      <c r="A28" s="17" t="s">
        <v>264</v>
      </c>
      <c r="B28" s="17" t="s">
        <v>260</v>
      </c>
      <c r="C28" s="17" t="s">
        <v>262</v>
      </c>
      <c r="D28" s="17" t="s">
        <v>1016</v>
      </c>
      <c r="E28" s="17" t="s">
        <v>962</v>
      </c>
      <c r="F28" s="17" t="s">
        <v>17</v>
      </c>
      <c r="G28" s="17" t="s">
        <v>963</v>
      </c>
      <c r="H28" s="17" t="s">
        <v>956</v>
      </c>
      <c r="I28" s="16">
        <v>46178</v>
      </c>
      <c r="J28" s="17" t="s">
        <v>11</v>
      </c>
      <c r="K28" s="17" t="s">
        <v>1017</v>
      </c>
    </row>
    <row r="29" spans="1:11">
      <c r="A29" s="17" t="s">
        <v>270</v>
      </c>
      <c r="B29" s="17" t="s">
        <v>266</v>
      </c>
      <c r="C29" s="17" t="s">
        <v>268</v>
      </c>
      <c r="D29" s="17" t="s">
        <v>1018</v>
      </c>
      <c r="E29" s="17" t="s">
        <v>966</v>
      </c>
      <c r="F29" s="17" t="s">
        <v>17</v>
      </c>
      <c r="G29" s="17" t="s">
        <v>955</v>
      </c>
      <c r="H29" s="17" t="s">
        <v>956</v>
      </c>
      <c r="I29" s="16">
        <v>46185</v>
      </c>
      <c r="J29" s="17" t="s">
        <v>11</v>
      </c>
      <c r="K29" s="17" t="s">
        <v>1019</v>
      </c>
    </row>
    <row r="30" spans="1:11">
      <c r="A30" s="17" t="s">
        <v>275</v>
      </c>
      <c r="B30" s="17" t="s">
        <v>272</v>
      </c>
      <c r="C30" s="17" t="s">
        <v>274</v>
      </c>
      <c r="D30" s="17" t="s">
        <v>1020</v>
      </c>
      <c r="E30" s="17" t="s">
        <v>969</v>
      </c>
      <c r="F30" s="17" t="s">
        <v>17</v>
      </c>
      <c r="G30" s="17" t="s">
        <v>955</v>
      </c>
      <c r="H30" s="17" t="s">
        <v>956</v>
      </c>
      <c r="I30" s="16">
        <v>46192</v>
      </c>
      <c r="J30" s="17" t="s">
        <v>11</v>
      </c>
      <c r="K30" s="17" t="s">
        <v>1021</v>
      </c>
    </row>
    <row r="31" spans="1:11">
      <c r="A31" s="17" t="s">
        <v>279</v>
      </c>
      <c r="B31" s="17" t="s">
        <v>277</v>
      </c>
      <c r="C31" s="17" t="s">
        <v>278</v>
      </c>
      <c r="D31" s="17" t="s">
        <v>1022</v>
      </c>
      <c r="E31" s="17" t="s">
        <v>972</v>
      </c>
      <c r="F31" s="17" t="s">
        <v>17</v>
      </c>
      <c r="G31" s="17" t="s">
        <v>963</v>
      </c>
      <c r="H31" s="17" t="s">
        <v>956</v>
      </c>
      <c r="I31" s="16">
        <v>46199</v>
      </c>
      <c r="J31" s="17" t="s">
        <v>11</v>
      </c>
      <c r="K31" s="17" t="s">
        <v>1023</v>
      </c>
    </row>
    <row r="32" spans="1:11">
      <c r="A32" s="17" t="s">
        <v>282</v>
      </c>
      <c r="B32" s="17" t="s">
        <v>281</v>
      </c>
      <c r="C32" s="17" t="s">
        <v>250</v>
      </c>
      <c r="D32" s="17" t="s">
        <v>1024</v>
      </c>
      <c r="E32" s="17" t="s">
        <v>975</v>
      </c>
      <c r="F32" s="17" t="s">
        <v>17</v>
      </c>
      <c r="G32" s="17" t="s">
        <v>955</v>
      </c>
      <c r="H32" s="17" t="s">
        <v>956</v>
      </c>
      <c r="I32" s="16">
        <v>46206</v>
      </c>
      <c r="J32" s="17" t="s">
        <v>11</v>
      </c>
      <c r="K32" s="17" t="s">
        <v>1025</v>
      </c>
    </row>
    <row r="33" spans="1:11">
      <c r="A33" s="17" t="s">
        <v>285</v>
      </c>
      <c r="B33" s="17" t="s">
        <v>284</v>
      </c>
      <c r="C33" s="17" t="s">
        <v>256</v>
      </c>
      <c r="D33" s="17" t="s">
        <v>1026</v>
      </c>
      <c r="E33" s="17" t="s">
        <v>978</v>
      </c>
      <c r="F33" s="17" t="s">
        <v>17</v>
      </c>
      <c r="G33" s="17" t="s">
        <v>955</v>
      </c>
      <c r="H33" s="17" t="s">
        <v>956</v>
      </c>
      <c r="I33" s="16">
        <v>46213</v>
      </c>
      <c r="J33" s="17" t="s">
        <v>11</v>
      </c>
      <c r="K33" s="17" t="s">
        <v>1027</v>
      </c>
    </row>
    <row r="34" spans="1:11">
      <c r="A34" s="17" t="s">
        <v>288</v>
      </c>
      <c r="B34" s="17" t="s">
        <v>287</v>
      </c>
      <c r="C34" s="17" t="s">
        <v>262</v>
      </c>
      <c r="D34" s="17" t="s">
        <v>1028</v>
      </c>
      <c r="E34" s="17" t="s">
        <v>954</v>
      </c>
      <c r="F34" s="17" t="s">
        <v>17</v>
      </c>
      <c r="G34" s="17" t="s">
        <v>963</v>
      </c>
      <c r="H34" s="17" t="s">
        <v>956</v>
      </c>
      <c r="I34" s="16">
        <v>46220</v>
      </c>
      <c r="J34" s="17" t="s">
        <v>11</v>
      </c>
      <c r="K34" s="17" t="s">
        <v>1029</v>
      </c>
    </row>
    <row r="35" spans="1:11">
      <c r="A35" s="17" t="s">
        <v>291</v>
      </c>
      <c r="B35" s="17" t="s">
        <v>290</v>
      </c>
      <c r="C35" s="17" t="s">
        <v>268</v>
      </c>
      <c r="D35" s="17" t="s">
        <v>1030</v>
      </c>
      <c r="E35" s="17" t="s">
        <v>959</v>
      </c>
      <c r="F35" s="17" t="s">
        <v>17</v>
      </c>
      <c r="G35" s="17" t="s">
        <v>955</v>
      </c>
      <c r="H35" s="17" t="s">
        <v>956</v>
      </c>
      <c r="I35" s="16">
        <v>46227</v>
      </c>
      <c r="J35" s="17" t="s">
        <v>11</v>
      </c>
      <c r="K35" s="17" t="s">
        <v>1031</v>
      </c>
    </row>
    <row r="36" spans="1:11">
      <c r="A36" s="17" t="s">
        <v>294</v>
      </c>
      <c r="B36" s="17" t="s">
        <v>293</v>
      </c>
      <c r="C36" s="17" t="s">
        <v>274</v>
      </c>
      <c r="D36" s="17" t="s">
        <v>1032</v>
      </c>
      <c r="E36" s="17" t="s">
        <v>962</v>
      </c>
      <c r="F36" s="17" t="s">
        <v>17</v>
      </c>
      <c r="G36" s="17" t="s">
        <v>955</v>
      </c>
      <c r="H36" s="17" t="s">
        <v>956</v>
      </c>
      <c r="I36" s="16">
        <v>46234</v>
      </c>
      <c r="J36" s="17" t="s">
        <v>11</v>
      </c>
      <c r="K36" s="17" t="s">
        <v>1033</v>
      </c>
    </row>
    <row r="37" spans="1:11">
      <c r="A37" s="17" t="s">
        <v>297</v>
      </c>
      <c r="B37" s="17" t="s">
        <v>296</v>
      </c>
      <c r="C37" s="17" t="s">
        <v>278</v>
      </c>
      <c r="D37" s="17" t="s">
        <v>1034</v>
      </c>
      <c r="E37" s="17" t="s">
        <v>966</v>
      </c>
      <c r="F37" s="17" t="s">
        <v>17</v>
      </c>
      <c r="G37" s="17" t="s">
        <v>963</v>
      </c>
      <c r="H37" s="17" t="s">
        <v>956</v>
      </c>
      <c r="I37" s="16">
        <v>46241</v>
      </c>
      <c r="J37" s="17" t="s">
        <v>11</v>
      </c>
      <c r="K37" s="17" t="s">
        <v>1035</v>
      </c>
    </row>
    <row r="38" spans="1:11">
      <c r="A38" s="17" t="s">
        <v>300</v>
      </c>
      <c r="B38" s="17" t="s">
        <v>299</v>
      </c>
      <c r="C38" s="17" t="s">
        <v>250</v>
      </c>
      <c r="D38" s="17" t="s">
        <v>1036</v>
      </c>
      <c r="E38" s="17" t="s">
        <v>969</v>
      </c>
      <c r="F38" s="17" t="s">
        <v>17</v>
      </c>
      <c r="G38" s="17" t="s">
        <v>955</v>
      </c>
      <c r="H38" s="17" t="s">
        <v>956</v>
      </c>
      <c r="I38" s="16">
        <v>46248</v>
      </c>
      <c r="J38" s="17" t="s">
        <v>11</v>
      </c>
      <c r="K38" s="17" t="s">
        <v>1037</v>
      </c>
    </row>
    <row r="39" spans="1:11">
      <c r="A39" s="17" t="s">
        <v>303</v>
      </c>
      <c r="B39" s="17" t="s">
        <v>302</v>
      </c>
      <c r="C39" s="17" t="s">
        <v>256</v>
      </c>
      <c r="D39" s="17" t="s">
        <v>1038</v>
      </c>
      <c r="E39" s="17" t="s">
        <v>972</v>
      </c>
      <c r="F39" s="17" t="s">
        <v>17</v>
      </c>
      <c r="G39" s="17" t="s">
        <v>955</v>
      </c>
      <c r="H39" s="17" t="s">
        <v>956</v>
      </c>
      <c r="I39" s="16">
        <v>46255</v>
      </c>
      <c r="J39" s="17" t="s">
        <v>11</v>
      </c>
      <c r="K39" s="17" t="s">
        <v>1039</v>
      </c>
    </row>
    <row r="40" spans="1:11">
      <c r="A40" s="17" t="s">
        <v>306</v>
      </c>
      <c r="B40" s="17" t="s">
        <v>305</v>
      </c>
      <c r="C40" s="17" t="s">
        <v>262</v>
      </c>
      <c r="D40" s="17" t="s">
        <v>1040</v>
      </c>
      <c r="E40" s="17" t="s">
        <v>975</v>
      </c>
      <c r="F40" s="17" t="s">
        <v>17</v>
      </c>
      <c r="G40" s="17" t="s">
        <v>963</v>
      </c>
      <c r="H40" s="17" t="s">
        <v>956</v>
      </c>
      <c r="I40" s="16">
        <v>46262</v>
      </c>
      <c r="J40" s="17" t="s">
        <v>11</v>
      </c>
      <c r="K40" s="17" t="s">
        <v>1041</v>
      </c>
    </row>
    <row r="41" spans="1:11">
      <c r="A41" s="17" t="s">
        <v>309</v>
      </c>
      <c r="B41" s="17" t="s">
        <v>308</v>
      </c>
      <c r="C41" s="17" t="s">
        <v>268</v>
      </c>
      <c r="D41" s="17" t="s">
        <v>1042</v>
      </c>
      <c r="E41" s="17" t="s">
        <v>978</v>
      </c>
      <c r="F41" s="17" t="s">
        <v>17</v>
      </c>
      <c r="G41" s="17" t="s">
        <v>955</v>
      </c>
      <c r="H41" s="17" t="s">
        <v>956</v>
      </c>
      <c r="I41" s="16">
        <v>46269</v>
      </c>
      <c r="J41" s="17" t="s">
        <v>11</v>
      </c>
      <c r="K41" s="17" t="s">
        <v>1043</v>
      </c>
    </row>
    <row r="42" spans="1:11">
      <c r="A42" s="17" t="s">
        <v>312</v>
      </c>
      <c r="B42" s="17" t="s">
        <v>311</v>
      </c>
      <c r="C42" s="17" t="s">
        <v>274</v>
      </c>
      <c r="D42" s="17" t="s">
        <v>1044</v>
      </c>
      <c r="E42" s="17" t="s">
        <v>954</v>
      </c>
      <c r="F42" s="17" t="s">
        <v>17</v>
      </c>
      <c r="G42" s="17" t="s">
        <v>955</v>
      </c>
      <c r="H42" s="17" t="s">
        <v>956</v>
      </c>
      <c r="I42" s="16">
        <v>46276</v>
      </c>
      <c r="J42" s="17" t="s">
        <v>11</v>
      </c>
      <c r="K42" s="17" t="s">
        <v>1045</v>
      </c>
    </row>
    <row r="43" spans="1:11">
      <c r="A43" s="17" t="s">
        <v>315</v>
      </c>
      <c r="B43" s="17" t="s">
        <v>314</v>
      </c>
      <c r="C43" s="17" t="s">
        <v>278</v>
      </c>
      <c r="D43" s="17" t="s">
        <v>1046</v>
      </c>
      <c r="E43" s="17" t="s">
        <v>959</v>
      </c>
      <c r="F43" s="17" t="s">
        <v>17</v>
      </c>
      <c r="G43" s="17" t="s">
        <v>963</v>
      </c>
      <c r="H43" s="17" t="s">
        <v>956</v>
      </c>
      <c r="I43" s="16">
        <v>46283</v>
      </c>
      <c r="J43" s="17" t="s">
        <v>11</v>
      </c>
      <c r="K43" s="17" t="s">
        <v>1047</v>
      </c>
    </row>
    <row r="44" spans="1:11">
      <c r="A44" s="17" t="s">
        <v>318</v>
      </c>
      <c r="B44" s="17" t="s">
        <v>317</v>
      </c>
      <c r="C44" s="17" t="s">
        <v>250</v>
      </c>
      <c r="D44" s="17" t="s">
        <v>1048</v>
      </c>
      <c r="E44" s="17" t="s">
        <v>962</v>
      </c>
      <c r="F44" s="17" t="s">
        <v>17</v>
      </c>
      <c r="G44" s="17" t="s">
        <v>955</v>
      </c>
      <c r="H44" s="17" t="s">
        <v>956</v>
      </c>
      <c r="I44" s="16">
        <v>46290</v>
      </c>
      <c r="J44" s="17" t="s">
        <v>11</v>
      </c>
      <c r="K44" s="17" t="s">
        <v>1049</v>
      </c>
    </row>
    <row r="45" spans="1:11">
      <c r="A45" s="17" t="s">
        <v>321</v>
      </c>
      <c r="B45" s="17" t="s">
        <v>320</v>
      </c>
      <c r="C45" s="17" t="s">
        <v>256</v>
      </c>
      <c r="D45" s="17" t="s">
        <v>1050</v>
      </c>
      <c r="E45" s="17" t="s">
        <v>966</v>
      </c>
      <c r="F45" s="17" t="s">
        <v>17</v>
      </c>
      <c r="G45" s="17" t="s">
        <v>955</v>
      </c>
      <c r="H45" s="17" t="s">
        <v>956</v>
      </c>
      <c r="I45" s="16">
        <v>46297</v>
      </c>
      <c r="J45" s="17" t="s">
        <v>11</v>
      </c>
      <c r="K45" s="17" t="s">
        <v>1051</v>
      </c>
    </row>
    <row r="46" spans="1:11">
      <c r="A46" s="17" t="s">
        <v>324</v>
      </c>
      <c r="B46" s="17" t="s">
        <v>323</v>
      </c>
      <c r="C46" s="17" t="s">
        <v>262</v>
      </c>
      <c r="D46" s="17" t="s">
        <v>1052</v>
      </c>
      <c r="E46" s="17" t="s">
        <v>969</v>
      </c>
      <c r="F46" s="17" t="s">
        <v>17</v>
      </c>
      <c r="G46" s="17" t="s">
        <v>963</v>
      </c>
      <c r="H46" s="17" t="s">
        <v>956</v>
      </c>
      <c r="I46" s="16">
        <v>46304</v>
      </c>
      <c r="J46" s="17" t="s">
        <v>11</v>
      </c>
      <c r="K46" s="17" t="s">
        <v>1053</v>
      </c>
    </row>
    <row r="47" spans="1:11">
      <c r="A47" s="17" t="s">
        <v>327</v>
      </c>
      <c r="B47" s="17" t="s">
        <v>326</v>
      </c>
      <c r="C47" s="17" t="s">
        <v>268</v>
      </c>
      <c r="D47" s="17" t="s">
        <v>1054</v>
      </c>
      <c r="E47" s="17" t="s">
        <v>972</v>
      </c>
      <c r="F47" s="17" t="s">
        <v>17</v>
      </c>
      <c r="G47" s="17" t="s">
        <v>955</v>
      </c>
      <c r="H47" s="17" t="s">
        <v>956</v>
      </c>
      <c r="I47" s="16">
        <v>46311</v>
      </c>
      <c r="J47" s="17" t="s">
        <v>11</v>
      </c>
      <c r="K47" s="17" t="s">
        <v>1055</v>
      </c>
    </row>
    <row r="48" spans="1:11">
      <c r="A48" s="17" t="s">
        <v>334</v>
      </c>
      <c r="B48" s="17" t="s">
        <v>329</v>
      </c>
      <c r="C48" s="17" t="s">
        <v>332</v>
      </c>
      <c r="D48" s="17" t="s">
        <v>1056</v>
      </c>
      <c r="E48" s="17" t="s">
        <v>975</v>
      </c>
      <c r="F48" s="17" t="s">
        <v>17</v>
      </c>
      <c r="G48" s="17" t="s">
        <v>955</v>
      </c>
      <c r="H48" s="17" t="s">
        <v>956</v>
      </c>
      <c r="I48" s="16">
        <v>46318</v>
      </c>
      <c r="J48" s="17" t="s">
        <v>11</v>
      </c>
      <c r="K48" s="17" t="s">
        <v>1057</v>
      </c>
    </row>
    <row r="49" spans="1:11">
      <c r="A49" s="17" t="s">
        <v>340</v>
      </c>
      <c r="B49" s="17" t="s">
        <v>336</v>
      </c>
      <c r="C49" s="17" t="s">
        <v>338</v>
      </c>
      <c r="D49" s="17" t="s">
        <v>1058</v>
      </c>
      <c r="E49" s="17" t="s">
        <v>978</v>
      </c>
      <c r="F49" s="17" t="s">
        <v>17</v>
      </c>
      <c r="G49" s="17" t="s">
        <v>963</v>
      </c>
      <c r="H49" s="17" t="s">
        <v>956</v>
      </c>
      <c r="I49" s="16">
        <v>46157</v>
      </c>
      <c r="J49" s="17" t="s">
        <v>11</v>
      </c>
      <c r="K49" s="17" t="s">
        <v>1059</v>
      </c>
    </row>
    <row r="50" spans="1:11">
      <c r="A50" s="17" t="s">
        <v>346</v>
      </c>
      <c r="B50" s="17" t="s">
        <v>342</v>
      </c>
      <c r="C50" s="17" t="s">
        <v>344</v>
      </c>
      <c r="D50" s="17" t="s">
        <v>1060</v>
      </c>
      <c r="E50" s="17" t="s">
        <v>954</v>
      </c>
      <c r="F50" s="17" t="s">
        <v>17</v>
      </c>
      <c r="G50" s="17" t="s">
        <v>955</v>
      </c>
      <c r="H50" s="17" t="s">
        <v>956</v>
      </c>
      <c r="I50" s="16">
        <v>46164</v>
      </c>
      <c r="J50" s="17" t="s">
        <v>11</v>
      </c>
      <c r="K50" s="17" t="s">
        <v>1061</v>
      </c>
    </row>
    <row r="51" spans="1:11">
      <c r="A51" s="17" t="s">
        <v>352</v>
      </c>
      <c r="B51" s="17" t="s">
        <v>348</v>
      </c>
      <c r="C51" s="17" t="s">
        <v>350</v>
      </c>
      <c r="D51" s="17" t="s">
        <v>1062</v>
      </c>
      <c r="E51" s="17" t="s">
        <v>959</v>
      </c>
      <c r="F51" s="17" t="s">
        <v>17</v>
      </c>
      <c r="G51" s="17" t="s">
        <v>955</v>
      </c>
      <c r="H51" s="17" t="s">
        <v>956</v>
      </c>
      <c r="I51" s="16">
        <v>46171</v>
      </c>
      <c r="J51" s="17" t="s">
        <v>11</v>
      </c>
      <c r="K51" s="17" t="s">
        <v>1063</v>
      </c>
    </row>
    <row r="52" spans="1:11">
      <c r="A52" s="17" t="s">
        <v>358</v>
      </c>
      <c r="B52" s="17" t="s">
        <v>354</v>
      </c>
      <c r="C52" s="17" t="s">
        <v>356</v>
      </c>
      <c r="D52" s="17" t="s">
        <v>1064</v>
      </c>
      <c r="E52" s="17" t="s">
        <v>962</v>
      </c>
      <c r="F52" s="17" t="s">
        <v>17</v>
      </c>
      <c r="G52" s="17" t="s">
        <v>963</v>
      </c>
      <c r="H52" s="17" t="s">
        <v>956</v>
      </c>
      <c r="I52" s="16">
        <v>46178</v>
      </c>
      <c r="J52" s="17" t="s">
        <v>11</v>
      </c>
      <c r="K52" s="17" t="s">
        <v>1065</v>
      </c>
    </row>
    <row r="53" spans="1:11">
      <c r="A53" s="17" t="s">
        <v>363</v>
      </c>
      <c r="B53" s="17" t="s">
        <v>360</v>
      </c>
      <c r="C53" s="17" t="s">
        <v>361</v>
      </c>
      <c r="D53" s="17" t="s">
        <v>1066</v>
      </c>
      <c r="E53" s="17" t="s">
        <v>966</v>
      </c>
      <c r="F53" s="17" t="s">
        <v>17</v>
      </c>
      <c r="G53" s="17" t="s">
        <v>963</v>
      </c>
      <c r="H53" s="17" t="s">
        <v>956</v>
      </c>
      <c r="I53" s="16">
        <v>46185</v>
      </c>
      <c r="J53" s="17" t="s">
        <v>11</v>
      </c>
      <c r="K53" s="17" t="s">
        <v>1067</v>
      </c>
    </row>
    <row r="54" spans="1:11">
      <c r="A54" s="17" t="s">
        <v>368</v>
      </c>
      <c r="B54" s="17" t="s">
        <v>366</v>
      </c>
      <c r="C54" s="17" t="s">
        <v>332</v>
      </c>
      <c r="D54" s="17" t="s">
        <v>1068</v>
      </c>
      <c r="E54" s="17" t="s">
        <v>969</v>
      </c>
      <c r="F54" s="17" t="s">
        <v>17</v>
      </c>
      <c r="G54" s="17" t="s">
        <v>963</v>
      </c>
      <c r="H54" s="17" t="s">
        <v>956</v>
      </c>
      <c r="I54" s="16">
        <v>46192</v>
      </c>
      <c r="J54" s="17" t="s">
        <v>11</v>
      </c>
      <c r="K54" s="17" t="s">
        <v>1069</v>
      </c>
    </row>
    <row r="55" spans="1:11">
      <c r="A55" s="17" t="s">
        <v>372</v>
      </c>
      <c r="B55" s="17" t="s">
        <v>370</v>
      </c>
      <c r="C55" s="17" t="s">
        <v>338</v>
      </c>
      <c r="D55" s="17" t="s">
        <v>1070</v>
      </c>
      <c r="E55" s="17" t="s">
        <v>972</v>
      </c>
      <c r="F55" s="17" t="s">
        <v>17</v>
      </c>
      <c r="G55" s="17" t="s">
        <v>963</v>
      </c>
      <c r="H55" s="17" t="s">
        <v>956</v>
      </c>
      <c r="I55" s="16">
        <v>46199</v>
      </c>
      <c r="J55" s="17" t="s">
        <v>11</v>
      </c>
      <c r="K55" s="17" t="s">
        <v>1071</v>
      </c>
    </row>
    <row r="56" spans="1:11">
      <c r="A56" s="17" t="s">
        <v>376</v>
      </c>
      <c r="B56" s="17" t="s">
        <v>374</v>
      </c>
      <c r="C56" s="17" t="s">
        <v>344</v>
      </c>
      <c r="D56" s="17" t="s">
        <v>1072</v>
      </c>
      <c r="E56" s="17" t="s">
        <v>975</v>
      </c>
      <c r="F56" s="17" t="s">
        <v>17</v>
      </c>
      <c r="G56" s="17" t="s">
        <v>963</v>
      </c>
      <c r="H56" s="17" t="s">
        <v>956</v>
      </c>
      <c r="I56" s="16">
        <v>46206</v>
      </c>
      <c r="J56" s="17" t="s">
        <v>11</v>
      </c>
      <c r="K56" s="17" t="s">
        <v>1073</v>
      </c>
    </row>
    <row r="57" spans="1:11">
      <c r="A57" s="17" t="s">
        <v>380</v>
      </c>
      <c r="B57" s="17" t="s">
        <v>378</v>
      </c>
      <c r="C57" s="17" t="s">
        <v>350</v>
      </c>
      <c r="D57" s="17" t="s">
        <v>1074</v>
      </c>
      <c r="E57" s="17" t="s">
        <v>978</v>
      </c>
      <c r="F57" s="17" t="s">
        <v>17</v>
      </c>
      <c r="G57" s="17" t="s">
        <v>963</v>
      </c>
      <c r="H57" s="17" t="s">
        <v>956</v>
      </c>
      <c r="I57" s="16">
        <v>46213</v>
      </c>
      <c r="J57" s="17" t="s">
        <v>11</v>
      </c>
      <c r="K57" s="17" t="s">
        <v>1075</v>
      </c>
    </row>
    <row r="58" spans="1:11">
      <c r="A58" s="17" t="s">
        <v>384</v>
      </c>
      <c r="B58" s="17" t="s">
        <v>382</v>
      </c>
      <c r="C58" s="17" t="s">
        <v>356</v>
      </c>
      <c r="D58" s="17" t="s">
        <v>1076</v>
      </c>
      <c r="E58" s="17" t="s">
        <v>954</v>
      </c>
      <c r="F58" s="17" t="s">
        <v>17</v>
      </c>
      <c r="G58" s="17" t="s">
        <v>963</v>
      </c>
      <c r="H58" s="17" t="s">
        <v>956</v>
      </c>
      <c r="I58" s="16">
        <v>46220</v>
      </c>
      <c r="J58" s="17" t="s">
        <v>11</v>
      </c>
      <c r="K58" s="17" t="s">
        <v>1077</v>
      </c>
    </row>
    <row r="59" spans="1:11">
      <c r="A59" s="17" t="s">
        <v>388</v>
      </c>
      <c r="B59" s="17" t="s">
        <v>386</v>
      </c>
      <c r="C59" s="17" t="s">
        <v>361</v>
      </c>
      <c r="D59" s="17" t="s">
        <v>1078</v>
      </c>
      <c r="E59" s="17" t="s">
        <v>959</v>
      </c>
      <c r="F59" s="17" t="s">
        <v>17</v>
      </c>
      <c r="G59" s="17" t="s">
        <v>963</v>
      </c>
      <c r="H59" s="17" t="s">
        <v>956</v>
      </c>
      <c r="I59" s="16">
        <v>46227</v>
      </c>
      <c r="J59" s="17" t="s">
        <v>11</v>
      </c>
      <c r="K59" s="17" t="s">
        <v>1079</v>
      </c>
    </row>
    <row r="60" spans="1:11">
      <c r="A60" s="17" t="s">
        <v>392</v>
      </c>
      <c r="B60" s="17" t="s">
        <v>390</v>
      </c>
      <c r="C60" s="17" t="s">
        <v>332</v>
      </c>
      <c r="D60" s="17" t="s">
        <v>1080</v>
      </c>
      <c r="E60" s="17" t="s">
        <v>962</v>
      </c>
      <c r="F60" s="17" t="s">
        <v>17</v>
      </c>
      <c r="G60" s="17" t="s">
        <v>963</v>
      </c>
      <c r="H60" s="17" t="s">
        <v>956</v>
      </c>
      <c r="I60" s="16">
        <v>46234</v>
      </c>
      <c r="J60" s="17" t="s">
        <v>11</v>
      </c>
      <c r="K60" s="17" t="s">
        <v>1081</v>
      </c>
    </row>
    <row r="61" spans="1:11">
      <c r="A61" s="17" t="s">
        <v>396</v>
      </c>
      <c r="B61" s="17" t="s">
        <v>394</v>
      </c>
      <c r="C61" s="17" t="s">
        <v>338</v>
      </c>
      <c r="D61" s="17" t="s">
        <v>1082</v>
      </c>
      <c r="E61" s="17" t="s">
        <v>966</v>
      </c>
      <c r="F61" s="17" t="s">
        <v>17</v>
      </c>
      <c r="G61" s="17" t="s">
        <v>963</v>
      </c>
      <c r="H61" s="17" t="s">
        <v>956</v>
      </c>
      <c r="I61" s="16">
        <v>46241</v>
      </c>
      <c r="J61" s="17" t="s">
        <v>11</v>
      </c>
      <c r="K61" s="17" t="s">
        <v>1083</v>
      </c>
    </row>
    <row r="62" spans="1:11">
      <c r="A62" s="17" t="s">
        <v>400</v>
      </c>
      <c r="B62" s="17" t="s">
        <v>398</v>
      </c>
      <c r="C62" s="17" t="s">
        <v>344</v>
      </c>
      <c r="D62" s="17" t="s">
        <v>1084</v>
      </c>
      <c r="E62" s="17" t="s">
        <v>969</v>
      </c>
      <c r="F62" s="17" t="s">
        <v>17</v>
      </c>
      <c r="G62" s="17" t="s">
        <v>963</v>
      </c>
      <c r="H62" s="17" t="s">
        <v>956</v>
      </c>
      <c r="I62" s="16">
        <v>46248</v>
      </c>
      <c r="J62" s="17" t="s">
        <v>11</v>
      </c>
      <c r="K62" s="17" t="s">
        <v>1085</v>
      </c>
    </row>
    <row r="63" spans="1:11">
      <c r="A63" s="17" t="s">
        <v>404</v>
      </c>
      <c r="B63" s="17" t="s">
        <v>402</v>
      </c>
      <c r="C63" s="17" t="s">
        <v>350</v>
      </c>
      <c r="D63" s="17" t="s">
        <v>1086</v>
      </c>
      <c r="E63" s="17" t="s">
        <v>972</v>
      </c>
      <c r="F63" s="17" t="s">
        <v>17</v>
      </c>
      <c r="G63" s="17" t="s">
        <v>963</v>
      </c>
      <c r="H63" s="17" t="s">
        <v>956</v>
      </c>
      <c r="I63" s="16">
        <v>46255</v>
      </c>
      <c r="J63" s="17" t="s">
        <v>11</v>
      </c>
      <c r="K63" s="17" t="s">
        <v>1087</v>
      </c>
    </row>
    <row r="64" spans="1:11">
      <c r="A64" s="17" t="s">
        <v>408</v>
      </c>
      <c r="B64" s="17" t="s">
        <v>406</v>
      </c>
      <c r="C64" s="17" t="s">
        <v>356</v>
      </c>
      <c r="D64" s="17" t="s">
        <v>1088</v>
      </c>
      <c r="E64" s="17" t="s">
        <v>975</v>
      </c>
      <c r="F64" s="17" t="s">
        <v>17</v>
      </c>
      <c r="G64" s="17" t="s">
        <v>963</v>
      </c>
      <c r="H64" s="17" t="s">
        <v>956</v>
      </c>
      <c r="I64" s="16">
        <v>46262</v>
      </c>
      <c r="J64" s="17" t="s">
        <v>11</v>
      </c>
      <c r="K64" s="17" t="s">
        <v>1089</v>
      </c>
    </row>
    <row r="65" spans="1:11">
      <c r="A65" s="17" t="s">
        <v>412</v>
      </c>
      <c r="B65" s="17" t="s">
        <v>410</v>
      </c>
      <c r="C65" s="17" t="s">
        <v>361</v>
      </c>
      <c r="D65" s="17" t="s">
        <v>1090</v>
      </c>
      <c r="E65" s="17" t="s">
        <v>978</v>
      </c>
      <c r="F65" s="17" t="s">
        <v>17</v>
      </c>
      <c r="G65" s="17" t="s">
        <v>963</v>
      </c>
      <c r="H65" s="17" t="s">
        <v>956</v>
      </c>
      <c r="I65" s="16">
        <v>46269</v>
      </c>
      <c r="J65" s="17" t="s">
        <v>11</v>
      </c>
      <c r="K65" s="17" t="s">
        <v>1091</v>
      </c>
    </row>
    <row r="66" spans="1:11">
      <c r="A66" s="17" t="s">
        <v>416</v>
      </c>
      <c r="B66" s="17" t="s">
        <v>414</v>
      </c>
      <c r="C66" s="17" t="s">
        <v>332</v>
      </c>
      <c r="D66" s="17" t="s">
        <v>1092</v>
      </c>
      <c r="E66" s="17" t="s">
        <v>954</v>
      </c>
      <c r="F66" s="17" t="s">
        <v>17</v>
      </c>
      <c r="G66" s="17" t="s">
        <v>963</v>
      </c>
      <c r="H66" s="17" t="s">
        <v>956</v>
      </c>
      <c r="I66" s="16">
        <v>46276</v>
      </c>
      <c r="J66" s="17" t="s">
        <v>11</v>
      </c>
      <c r="K66" s="17" t="s">
        <v>1093</v>
      </c>
    </row>
    <row r="67" spans="1:11">
      <c r="A67" s="17" t="s">
        <v>420</v>
      </c>
      <c r="B67" s="17" t="s">
        <v>418</v>
      </c>
      <c r="C67" s="17" t="s">
        <v>338</v>
      </c>
      <c r="D67" s="17" t="s">
        <v>1094</v>
      </c>
      <c r="E67" s="17" t="s">
        <v>959</v>
      </c>
      <c r="F67" s="17" t="s">
        <v>17</v>
      </c>
      <c r="G67" s="17" t="s">
        <v>963</v>
      </c>
      <c r="H67" s="17" t="s">
        <v>956</v>
      </c>
      <c r="I67" s="16">
        <v>46283</v>
      </c>
      <c r="J67" s="17" t="s">
        <v>11</v>
      </c>
      <c r="K67" s="17" t="s">
        <v>1095</v>
      </c>
    </row>
    <row r="68" spans="1:11">
      <c r="A68" s="17" t="s">
        <v>424</v>
      </c>
      <c r="B68" s="17" t="s">
        <v>422</v>
      </c>
      <c r="C68" s="17" t="s">
        <v>344</v>
      </c>
      <c r="D68" s="17" t="s">
        <v>1096</v>
      </c>
      <c r="E68" s="17" t="s">
        <v>962</v>
      </c>
      <c r="F68" s="17" t="s">
        <v>17</v>
      </c>
      <c r="G68" s="17" t="s">
        <v>963</v>
      </c>
      <c r="H68" s="17" t="s">
        <v>956</v>
      </c>
      <c r="I68" s="16">
        <v>46290</v>
      </c>
      <c r="J68" s="17" t="s">
        <v>11</v>
      </c>
      <c r="K68" s="17" t="s">
        <v>1097</v>
      </c>
    </row>
    <row r="69" spans="1:11">
      <c r="A69" s="17" t="s">
        <v>428</v>
      </c>
      <c r="B69" s="17" t="s">
        <v>426</v>
      </c>
      <c r="C69" s="17" t="s">
        <v>350</v>
      </c>
      <c r="D69" s="17" t="s">
        <v>1098</v>
      </c>
      <c r="E69" s="17" t="s">
        <v>966</v>
      </c>
      <c r="F69" s="17" t="s">
        <v>17</v>
      </c>
      <c r="G69" s="17" t="s">
        <v>963</v>
      </c>
      <c r="H69" s="17" t="s">
        <v>956</v>
      </c>
      <c r="I69" s="16">
        <v>46297</v>
      </c>
      <c r="J69" s="17" t="s">
        <v>11</v>
      </c>
      <c r="K69" s="17" t="s">
        <v>1099</v>
      </c>
    </row>
    <row r="70" spans="1:11">
      <c r="A70" s="17" t="s">
        <v>432</v>
      </c>
      <c r="B70" s="17" t="s">
        <v>430</v>
      </c>
      <c r="C70" s="17" t="s">
        <v>356</v>
      </c>
      <c r="D70" s="17" t="s">
        <v>1100</v>
      </c>
      <c r="E70" s="17" t="s">
        <v>969</v>
      </c>
      <c r="F70" s="17" t="s">
        <v>17</v>
      </c>
      <c r="G70" s="17" t="s">
        <v>963</v>
      </c>
      <c r="H70" s="17" t="s">
        <v>956</v>
      </c>
      <c r="I70" s="16">
        <v>46304</v>
      </c>
      <c r="J70" s="17" t="s">
        <v>11</v>
      </c>
      <c r="K70" s="17" t="s">
        <v>1101</v>
      </c>
    </row>
    <row r="71" spans="1:11">
      <c r="A71" s="17" t="s">
        <v>439</v>
      </c>
      <c r="B71" s="17" t="s">
        <v>434</v>
      </c>
      <c r="C71" s="17" t="s">
        <v>437</v>
      </c>
      <c r="D71" s="17" t="s">
        <v>1102</v>
      </c>
      <c r="E71" s="17" t="s">
        <v>972</v>
      </c>
      <c r="F71" s="17" t="s">
        <v>17</v>
      </c>
      <c r="G71" s="17" t="s">
        <v>955</v>
      </c>
      <c r="H71" s="17" t="s">
        <v>956</v>
      </c>
      <c r="I71" s="16">
        <v>46311</v>
      </c>
      <c r="J71" s="17" t="s">
        <v>11</v>
      </c>
      <c r="K71" s="17" t="s">
        <v>1103</v>
      </c>
    </row>
    <row r="72" spans="1:11">
      <c r="A72" s="17" t="s">
        <v>445</v>
      </c>
      <c r="B72" s="17" t="s">
        <v>441</v>
      </c>
      <c r="C72" s="17" t="s">
        <v>443</v>
      </c>
      <c r="D72" s="17" t="s">
        <v>1104</v>
      </c>
      <c r="E72" s="17" t="s">
        <v>975</v>
      </c>
      <c r="F72" s="17" t="s">
        <v>17</v>
      </c>
      <c r="G72" s="17" t="s">
        <v>955</v>
      </c>
      <c r="H72" s="17" t="s">
        <v>956</v>
      </c>
      <c r="I72" s="16">
        <v>46318</v>
      </c>
      <c r="J72" s="17" t="s">
        <v>11</v>
      </c>
      <c r="K72" s="17" t="s">
        <v>1105</v>
      </c>
    </row>
    <row r="73" spans="1:11">
      <c r="A73" s="17" t="s">
        <v>451</v>
      </c>
      <c r="B73" s="17" t="s">
        <v>447</v>
      </c>
      <c r="C73" s="17" t="s">
        <v>449</v>
      </c>
      <c r="D73" s="17" t="s">
        <v>1106</v>
      </c>
      <c r="E73" s="17" t="s">
        <v>978</v>
      </c>
      <c r="F73" s="17" t="s">
        <v>17</v>
      </c>
      <c r="G73" s="17" t="s">
        <v>963</v>
      </c>
      <c r="H73" s="17" t="s">
        <v>956</v>
      </c>
      <c r="I73" s="16">
        <v>46157</v>
      </c>
      <c r="J73" s="17" t="s">
        <v>11</v>
      </c>
      <c r="K73" s="17" t="s">
        <v>1107</v>
      </c>
    </row>
    <row r="74" spans="1:11">
      <c r="A74" s="17" t="s">
        <v>457</v>
      </c>
      <c r="B74" s="17" t="s">
        <v>453</v>
      </c>
      <c r="C74" s="17" t="s">
        <v>455</v>
      </c>
      <c r="D74" s="17" t="s">
        <v>1108</v>
      </c>
      <c r="E74" s="17" t="s">
        <v>954</v>
      </c>
      <c r="F74" s="17" t="s">
        <v>17</v>
      </c>
      <c r="G74" s="17" t="s">
        <v>955</v>
      </c>
      <c r="H74" s="17" t="s">
        <v>956</v>
      </c>
      <c r="I74" s="16">
        <v>46164</v>
      </c>
      <c r="J74" s="17" t="s">
        <v>11</v>
      </c>
      <c r="K74" s="17" t="s">
        <v>1109</v>
      </c>
    </row>
    <row r="75" spans="1:11">
      <c r="A75" s="17" t="s">
        <v>463</v>
      </c>
      <c r="B75" s="17" t="s">
        <v>459</v>
      </c>
      <c r="C75" s="17" t="s">
        <v>461</v>
      </c>
      <c r="D75" s="17" t="s">
        <v>1110</v>
      </c>
      <c r="E75" s="17" t="s">
        <v>959</v>
      </c>
      <c r="F75" s="17" t="s">
        <v>17</v>
      </c>
      <c r="G75" s="17" t="s">
        <v>955</v>
      </c>
      <c r="H75" s="17" t="s">
        <v>956</v>
      </c>
      <c r="I75" s="16">
        <v>46171</v>
      </c>
      <c r="J75" s="17" t="s">
        <v>11</v>
      </c>
      <c r="K75" s="17" t="s">
        <v>1111</v>
      </c>
    </row>
    <row r="76" spans="1:11">
      <c r="A76" s="17" t="s">
        <v>468</v>
      </c>
      <c r="B76" s="17" t="s">
        <v>465</v>
      </c>
      <c r="C76" s="17" t="s">
        <v>466</v>
      </c>
      <c r="D76" s="17" t="s">
        <v>1112</v>
      </c>
      <c r="E76" s="17" t="s">
        <v>962</v>
      </c>
      <c r="F76" s="17" t="s">
        <v>17</v>
      </c>
      <c r="G76" s="17" t="s">
        <v>963</v>
      </c>
      <c r="H76" s="17" t="s">
        <v>956</v>
      </c>
      <c r="I76" s="16">
        <v>46178</v>
      </c>
      <c r="J76" s="17" t="s">
        <v>11</v>
      </c>
      <c r="K76" s="17" t="s">
        <v>1113</v>
      </c>
    </row>
    <row r="77" spans="1:11">
      <c r="A77" s="17" t="s">
        <v>472</v>
      </c>
      <c r="B77" s="17" t="s">
        <v>470</v>
      </c>
      <c r="C77" s="17" t="s">
        <v>437</v>
      </c>
      <c r="D77" s="17" t="s">
        <v>1114</v>
      </c>
      <c r="E77" s="17" t="s">
        <v>966</v>
      </c>
      <c r="F77" s="17" t="s">
        <v>17</v>
      </c>
      <c r="G77" s="17" t="s">
        <v>963</v>
      </c>
      <c r="H77" s="17" t="s">
        <v>956</v>
      </c>
      <c r="I77" s="16">
        <v>46185</v>
      </c>
      <c r="J77" s="17" t="s">
        <v>11</v>
      </c>
      <c r="K77" s="17" t="s">
        <v>1115</v>
      </c>
    </row>
    <row r="78" spans="1:11">
      <c r="A78" s="17" t="s">
        <v>476</v>
      </c>
      <c r="B78" s="17" t="s">
        <v>474</v>
      </c>
      <c r="C78" s="17" t="s">
        <v>443</v>
      </c>
      <c r="D78" s="17" t="s">
        <v>1116</v>
      </c>
      <c r="E78" s="17" t="s">
        <v>969</v>
      </c>
      <c r="F78" s="17" t="s">
        <v>17</v>
      </c>
      <c r="G78" s="17" t="s">
        <v>963</v>
      </c>
      <c r="H78" s="17" t="s">
        <v>956</v>
      </c>
      <c r="I78" s="16">
        <v>46192</v>
      </c>
      <c r="J78" s="17" t="s">
        <v>11</v>
      </c>
      <c r="K78" s="17" t="s">
        <v>1117</v>
      </c>
    </row>
    <row r="79" spans="1:11">
      <c r="A79" s="17" t="s">
        <v>480</v>
      </c>
      <c r="B79" s="17" t="s">
        <v>478</v>
      </c>
      <c r="C79" s="17" t="s">
        <v>449</v>
      </c>
      <c r="D79" s="17" t="s">
        <v>1118</v>
      </c>
      <c r="E79" s="17" t="s">
        <v>972</v>
      </c>
      <c r="F79" s="17" t="s">
        <v>17</v>
      </c>
      <c r="G79" s="17" t="s">
        <v>963</v>
      </c>
      <c r="H79" s="17" t="s">
        <v>956</v>
      </c>
      <c r="I79" s="16">
        <v>46199</v>
      </c>
      <c r="J79" s="17" t="s">
        <v>11</v>
      </c>
      <c r="K79" s="17" t="s">
        <v>1119</v>
      </c>
    </row>
    <row r="80" spans="1:11">
      <c r="A80" s="17" t="s">
        <v>484</v>
      </c>
      <c r="B80" s="17" t="s">
        <v>482</v>
      </c>
      <c r="C80" s="17" t="s">
        <v>455</v>
      </c>
      <c r="D80" s="17" t="s">
        <v>1120</v>
      </c>
      <c r="E80" s="17" t="s">
        <v>975</v>
      </c>
      <c r="F80" s="17" t="s">
        <v>17</v>
      </c>
      <c r="G80" s="17" t="s">
        <v>963</v>
      </c>
      <c r="H80" s="17" t="s">
        <v>956</v>
      </c>
      <c r="I80" s="16">
        <v>46206</v>
      </c>
      <c r="J80" s="17" t="s">
        <v>11</v>
      </c>
      <c r="K80" s="17" t="s">
        <v>1121</v>
      </c>
    </row>
    <row r="81" spans="1:11">
      <c r="A81" s="17" t="s">
        <v>488</v>
      </c>
      <c r="B81" s="17" t="s">
        <v>486</v>
      </c>
      <c r="C81" s="17" t="s">
        <v>461</v>
      </c>
      <c r="D81" s="17" t="s">
        <v>1122</v>
      </c>
      <c r="E81" s="17" t="s">
        <v>978</v>
      </c>
      <c r="F81" s="17" t="s">
        <v>17</v>
      </c>
      <c r="G81" s="17" t="s">
        <v>963</v>
      </c>
      <c r="H81" s="17" t="s">
        <v>956</v>
      </c>
      <c r="I81" s="16">
        <v>46213</v>
      </c>
      <c r="J81" s="17" t="s">
        <v>11</v>
      </c>
      <c r="K81" s="17" t="s">
        <v>1123</v>
      </c>
    </row>
    <row r="82" spans="1:11">
      <c r="A82" s="17" t="s">
        <v>492</v>
      </c>
      <c r="B82" s="17" t="s">
        <v>490</v>
      </c>
      <c r="C82" s="17" t="s">
        <v>466</v>
      </c>
      <c r="D82" s="17" t="s">
        <v>1124</v>
      </c>
      <c r="E82" s="17" t="s">
        <v>954</v>
      </c>
      <c r="F82" s="17" t="s">
        <v>17</v>
      </c>
      <c r="G82" s="17" t="s">
        <v>963</v>
      </c>
      <c r="H82" s="17" t="s">
        <v>956</v>
      </c>
      <c r="I82" s="16">
        <v>46220</v>
      </c>
      <c r="J82" s="17" t="s">
        <v>11</v>
      </c>
      <c r="K82" s="17" t="s">
        <v>1125</v>
      </c>
    </row>
    <row r="83" spans="1:11">
      <c r="A83" s="17" t="s">
        <v>496</v>
      </c>
      <c r="B83" s="17" t="s">
        <v>494</v>
      </c>
      <c r="C83" s="17" t="s">
        <v>437</v>
      </c>
      <c r="D83" s="17" t="s">
        <v>1126</v>
      </c>
      <c r="E83" s="17" t="s">
        <v>959</v>
      </c>
      <c r="F83" s="17" t="s">
        <v>17</v>
      </c>
      <c r="G83" s="17" t="s">
        <v>963</v>
      </c>
      <c r="H83" s="17" t="s">
        <v>956</v>
      </c>
      <c r="I83" s="16">
        <v>46227</v>
      </c>
      <c r="J83" s="17" t="s">
        <v>11</v>
      </c>
      <c r="K83" s="17" t="s">
        <v>1127</v>
      </c>
    </row>
    <row r="84" spans="1:11">
      <c r="A84" s="17" t="s">
        <v>500</v>
      </c>
      <c r="B84" s="17" t="s">
        <v>498</v>
      </c>
      <c r="C84" s="17" t="s">
        <v>443</v>
      </c>
      <c r="D84" s="17" t="s">
        <v>1128</v>
      </c>
      <c r="E84" s="17" t="s">
        <v>962</v>
      </c>
      <c r="F84" s="17" t="s">
        <v>17</v>
      </c>
      <c r="G84" s="17" t="s">
        <v>963</v>
      </c>
      <c r="H84" s="17" t="s">
        <v>956</v>
      </c>
      <c r="I84" s="16">
        <v>46234</v>
      </c>
      <c r="J84" s="17" t="s">
        <v>11</v>
      </c>
      <c r="K84" s="17" t="s">
        <v>1129</v>
      </c>
    </row>
    <row r="85" spans="1:11">
      <c r="A85" s="17" t="s">
        <v>504</v>
      </c>
      <c r="B85" s="17" t="s">
        <v>502</v>
      </c>
      <c r="C85" s="17" t="s">
        <v>449</v>
      </c>
      <c r="D85" s="17" t="s">
        <v>1130</v>
      </c>
      <c r="E85" s="17" t="s">
        <v>966</v>
      </c>
      <c r="F85" s="17" t="s">
        <v>17</v>
      </c>
      <c r="G85" s="17" t="s">
        <v>963</v>
      </c>
      <c r="H85" s="17" t="s">
        <v>956</v>
      </c>
      <c r="I85" s="16">
        <v>46241</v>
      </c>
      <c r="J85" s="17" t="s">
        <v>11</v>
      </c>
      <c r="K85" s="17" t="s">
        <v>1131</v>
      </c>
    </row>
    <row r="86" spans="1:11">
      <c r="A86" s="17" t="s">
        <v>508</v>
      </c>
      <c r="B86" s="17" t="s">
        <v>506</v>
      </c>
      <c r="C86" s="17" t="s">
        <v>455</v>
      </c>
      <c r="D86" s="17" t="s">
        <v>1132</v>
      </c>
      <c r="E86" s="17" t="s">
        <v>969</v>
      </c>
      <c r="F86" s="17" t="s">
        <v>17</v>
      </c>
      <c r="G86" s="17" t="s">
        <v>963</v>
      </c>
      <c r="H86" s="17" t="s">
        <v>956</v>
      </c>
      <c r="I86" s="16">
        <v>46248</v>
      </c>
      <c r="J86" s="17" t="s">
        <v>11</v>
      </c>
      <c r="K86" s="17" t="s">
        <v>1133</v>
      </c>
    </row>
    <row r="87" spans="1:11">
      <c r="A87" s="17" t="s">
        <v>512</v>
      </c>
      <c r="B87" s="17" t="s">
        <v>510</v>
      </c>
      <c r="C87" s="17" t="s">
        <v>461</v>
      </c>
      <c r="D87" s="17" t="s">
        <v>1134</v>
      </c>
      <c r="E87" s="17" t="s">
        <v>972</v>
      </c>
      <c r="F87" s="17" t="s">
        <v>17</v>
      </c>
      <c r="G87" s="17" t="s">
        <v>963</v>
      </c>
      <c r="H87" s="17" t="s">
        <v>956</v>
      </c>
      <c r="I87" s="16">
        <v>46255</v>
      </c>
      <c r="J87" s="17" t="s">
        <v>11</v>
      </c>
      <c r="K87" s="17" t="s">
        <v>1135</v>
      </c>
    </row>
    <row r="88" spans="1:11">
      <c r="A88" s="17" t="s">
        <v>516</v>
      </c>
      <c r="B88" s="17" t="s">
        <v>514</v>
      </c>
      <c r="C88" s="17" t="s">
        <v>466</v>
      </c>
      <c r="D88" s="17" t="s">
        <v>1136</v>
      </c>
      <c r="E88" s="17" t="s">
        <v>975</v>
      </c>
      <c r="F88" s="17" t="s">
        <v>17</v>
      </c>
      <c r="G88" s="17" t="s">
        <v>963</v>
      </c>
      <c r="H88" s="17" t="s">
        <v>956</v>
      </c>
      <c r="I88" s="16">
        <v>46262</v>
      </c>
      <c r="J88" s="17" t="s">
        <v>11</v>
      </c>
      <c r="K88" s="17" t="s">
        <v>1137</v>
      </c>
    </row>
    <row r="89" spans="1:11">
      <c r="A89" s="17" t="s">
        <v>520</v>
      </c>
      <c r="B89" s="17" t="s">
        <v>518</v>
      </c>
      <c r="C89" s="17" t="s">
        <v>437</v>
      </c>
      <c r="D89" s="17" t="s">
        <v>1138</v>
      </c>
      <c r="E89" s="17" t="s">
        <v>978</v>
      </c>
      <c r="F89" s="17" t="s">
        <v>17</v>
      </c>
      <c r="G89" s="17" t="s">
        <v>963</v>
      </c>
      <c r="H89" s="17" t="s">
        <v>956</v>
      </c>
      <c r="I89" s="16">
        <v>46269</v>
      </c>
      <c r="J89" s="17" t="s">
        <v>11</v>
      </c>
      <c r="K89" s="17" t="s">
        <v>1139</v>
      </c>
    </row>
    <row r="90" spans="1:11">
      <c r="A90" s="17" t="s">
        <v>524</v>
      </c>
      <c r="B90" s="17" t="s">
        <v>522</v>
      </c>
      <c r="C90" s="17" t="s">
        <v>443</v>
      </c>
      <c r="D90" s="17" t="s">
        <v>1140</v>
      </c>
      <c r="E90" s="17" t="s">
        <v>954</v>
      </c>
      <c r="F90" s="17" t="s">
        <v>17</v>
      </c>
      <c r="G90" s="17" t="s">
        <v>963</v>
      </c>
      <c r="H90" s="17" t="s">
        <v>956</v>
      </c>
      <c r="I90" s="16">
        <v>46276</v>
      </c>
      <c r="J90" s="17" t="s">
        <v>11</v>
      </c>
      <c r="K90" s="17" t="s">
        <v>1141</v>
      </c>
    </row>
    <row r="91" spans="1:11">
      <c r="A91" s="17" t="s">
        <v>528</v>
      </c>
      <c r="B91" s="17" t="s">
        <v>526</v>
      </c>
      <c r="C91" s="17" t="s">
        <v>449</v>
      </c>
      <c r="D91" s="17" t="s">
        <v>1142</v>
      </c>
      <c r="E91" s="17" t="s">
        <v>959</v>
      </c>
      <c r="F91" s="17" t="s">
        <v>17</v>
      </c>
      <c r="G91" s="17" t="s">
        <v>963</v>
      </c>
      <c r="H91" s="17" t="s">
        <v>956</v>
      </c>
      <c r="I91" s="16">
        <v>46283</v>
      </c>
      <c r="J91" s="17" t="s">
        <v>11</v>
      </c>
      <c r="K91" s="17" t="s">
        <v>1143</v>
      </c>
    </row>
    <row r="92" spans="1:11">
      <c r="A92" s="17" t="s">
        <v>532</v>
      </c>
      <c r="B92" s="17" t="s">
        <v>530</v>
      </c>
      <c r="C92" s="17" t="s">
        <v>455</v>
      </c>
      <c r="D92" s="17" t="s">
        <v>1144</v>
      </c>
      <c r="E92" s="17" t="s">
        <v>962</v>
      </c>
      <c r="F92" s="17" t="s">
        <v>17</v>
      </c>
      <c r="G92" s="17" t="s">
        <v>963</v>
      </c>
      <c r="H92" s="17" t="s">
        <v>956</v>
      </c>
      <c r="I92" s="16">
        <v>46290</v>
      </c>
      <c r="J92" s="17" t="s">
        <v>11</v>
      </c>
      <c r="K92" s="17" t="s">
        <v>1145</v>
      </c>
    </row>
    <row r="93" spans="1:11">
      <c r="A93" s="17" t="s">
        <v>540</v>
      </c>
      <c r="B93" s="17" t="s">
        <v>534</v>
      </c>
      <c r="C93" s="17" t="s">
        <v>538</v>
      </c>
      <c r="D93" s="17" t="s">
        <v>1146</v>
      </c>
      <c r="E93" s="17" t="s">
        <v>966</v>
      </c>
      <c r="F93" s="17" t="s">
        <v>20</v>
      </c>
      <c r="G93" s="17" t="s">
        <v>955</v>
      </c>
      <c r="H93" s="17" t="s">
        <v>956</v>
      </c>
      <c r="I93" s="16">
        <v>46297</v>
      </c>
      <c r="J93" s="17" t="s">
        <v>11</v>
      </c>
      <c r="K93" s="17" t="s">
        <v>1147</v>
      </c>
    </row>
    <row r="94" spans="1:11">
      <c r="A94" s="17" t="s">
        <v>545</v>
      </c>
      <c r="B94" s="17" t="s">
        <v>542</v>
      </c>
      <c r="C94" s="17" t="s">
        <v>544</v>
      </c>
      <c r="D94" s="17" t="s">
        <v>1148</v>
      </c>
      <c r="E94" s="17" t="s">
        <v>969</v>
      </c>
      <c r="F94" s="17" t="s">
        <v>20</v>
      </c>
      <c r="G94" s="17" t="s">
        <v>963</v>
      </c>
      <c r="H94" s="17" t="s">
        <v>956</v>
      </c>
      <c r="I94" s="16">
        <v>46304</v>
      </c>
      <c r="J94" s="17" t="s">
        <v>11</v>
      </c>
      <c r="K94" s="17" t="s">
        <v>1149</v>
      </c>
    </row>
    <row r="95" spans="1:11">
      <c r="A95" s="17" t="s">
        <v>550</v>
      </c>
      <c r="B95" s="17" t="s">
        <v>547</v>
      </c>
      <c r="C95" s="17" t="s">
        <v>549</v>
      </c>
      <c r="D95" s="17" t="s">
        <v>1150</v>
      </c>
      <c r="E95" s="17" t="s">
        <v>972</v>
      </c>
      <c r="F95" s="17" t="s">
        <v>20</v>
      </c>
      <c r="G95" s="17" t="s">
        <v>955</v>
      </c>
      <c r="H95" s="17" t="s">
        <v>956</v>
      </c>
      <c r="I95" s="16">
        <v>46311</v>
      </c>
      <c r="J95" s="17" t="s">
        <v>11</v>
      </c>
      <c r="K95" s="17" t="s">
        <v>1151</v>
      </c>
    </row>
    <row r="96" spans="1:11">
      <c r="A96" s="17" t="s">
        <v>555</v>
      </c>
      <c r="B96" s="17" t="s">
        <v>552</v>
      </c>
      <c r="C96" s="17" t="s">
        <v>554</v>
      </c>
      <c r="D96" s="17" t="s">
        <v>1152</v>
      </c>
      <c r="E96" s="17" t="s">
        <v>975</v>
      </c>
      <c r="F96" s="17" t="s">
        <v>20</v>
      </c>
      <c r="G96" s="17" t="s">
        <v>955</v>
      </c>
      <c r="H96" s="17" t="s">
        <v>956</v>
      </c>
      <c r="I96" s="16">
        <v>46318</v>
      </c>
      <c r="J96" s="17" t="s">
        <v>11</v>
      </c>
      <c r="K96" s="17" t="s">
        <v>1153</v>
      </c>
    </row>
    <row r="97" spans="1:11">
      <c r="A97" s="17" t="s">
        <v>560</v>
      </c>
      <c r="B97" s="17" t="s">
        <v>557</v>
      </c>
      <c r="C97" s="17" t="s">
        <v>559</v>
      </c>
      <c r="D97" s="17" t="s">
        <v>1154</v>
      </c>
      <c r="E97" s="17" t="s">
        <v>978</v>
      </c>
      <c r="F97" s="17" t="s">
        <v>20</v>
      </c>
      <c r="G97" s="17" t="s">
        <v>963</v>
      </c>
      <c r="H97" s="17" t="s">
        <v>956</v>
      </c>
      <c r="I97" s="16">
        <v>46157</v>
      </c>
      <c r="J97" s="17" t="s">
        <v>11</v>
      </c>
      <c r="K97" s="17" t="s">
        <v>1155</v>
      </c>
    </row>
    <row r="98" spans="1:11">
      <c r="A98" s="17" t="s">
        <v>565</v>
      </c>
      <c r="B98" s="17" t="s">
        <v>562</v>
      </c>
      <c r="C98" s="17" t="s">
        <v>564</v>
      </c>
      <c r="D98" s="17" t="s">
        <v>1156</v>
      </c>
      <c r="E98" s="17" t="s">
        <v>954</v>
      </c>
      <c r="F98" s="17" t="s">
        <v>20</v>
      </c>
      <c r="G98" s="17" t="s">
        <v>955</v>
      </c>
      <c r="H98" s="17" t="s">
        <v>956</v>
      </c>
      <c r="I98" s="16">
        <v>46164</v>
      </c>
      <c r="J98" s="17" t="s">
        <v>11</v>
      </c>
      <c r="K98" s="17" t="s">
        <v>1157</v>
      </c>
    </row>
    <row r="99" spans="1:11">
      <c r="A99" s="17" t="s">
        <v>569</v>
      </c>
      <c r="B99" s="17" t="s">
        <v>567</v>
      </c>
      <c r="C99" s="17" t="s">
        <v>568</v>
      </c>
      <c r="D99" s="17" t="s">
        <v>1158</v>
      </c>
      <c r="E99" s="17" t="s">
        <v>959</v>
      </c>
      <c r="F99" s="17" t="s">
        <v>20</v>
      </c>
      <c r="G99" s="17" t="s">
        <v>955</v>
      </c>
      <c r="H99" s="17" t="s">
        <v>956</v>
      </c>
      <c r="I99" s="16">
        <v>46171</v>
      </c>
      <c r="J99" s="17" t="s">
        <v>11</v>
      </c>
      <c r="K99" s="17" t="s">
        <v>1159</v>
      </c>
    </row>
    <row r="100" spans="1:11">
      <c r="A100" s="17" t="s">
        <v>573</v>
      </c>
      <c r="B100" s="17" t="s">
        <v>571</v>
      </c>
      <c r="C100" s="17" t="s">
        <v>572</v>
      </c>
      <c r="D100" s="17" t="s">
        <v>1160</v>
      </c>
      <c r="E100" s="17" t="s">
        <v>962</v>
      </c>
      <c r="F100" s="17" t="s">
        <v>20</v>
      </c>
      <c r="G100" s="17" t="s">
        <v>963</v>
      </c>
      <c r="H100" s="17" t="s">
        <v>956</v>
      </c>
      <c r="I100" s="16">
        <v>46178</v>
      </c>
      <c r="J100" s="17" t="s">
        <v>11</v>
      </c>
      <c r="K100" s="17" t="s">
        <v>1161</v>
      </c>
    </row>
    <row r="101" spans="1:11">
      <c r="A101" s="17" t="s">
        <v>576</v>
      </c>
      <c r="B101" s="17" t="s">
        <v>575</v>
      </c>
      <c r="C101" s="17" t="s">
        <v>538</v>
      </c>
      <c r="D101" s="17" t="s">
        <v>1162</v>
      </c>
      <c r="E101" s="17" t="s">
        <v>966</v>
      </c>
      <c r="F101" s="17" t="s">
        <v>20</v>
      </c>
      <c r="G101" s="17" t="s">
        <v>955</v>
      </c>
      <c r="H101" s="17" t="s">
        <v>956</v>
      </c>
      <c r="I101" s="16">
        <v>46185</v>
      </c>
      <c r="J101" s="17" t="s">
        <v>11</v>
      </c>
      <c r="K101" s="17" t="s">
        <v>1163</v>
      </c>
    </row>
    <row r="102" spans="1:11">
      <c r="A102" s="17" t="s">
        <v>579</v>
      </c>
      <c r="B102" s="17" t="s">
        <v>578</v>
      </c>
      <c r="C102" s="17" t="s">
        <v>544</v>
      </c>
      <c r="D102" s="17" t="s">
        <v>1164</v>
      </c>
      <c r="E102" s="17" t="s">
        <v>969</v>
      </c>
      <c r="F102" s="17" t="s">
        <v>20</v>
      </c>
      <c r="G102" s="17" t="s">
        <v>955</v>
      </c>
      <c r="H102" s="17" t="s">
        <v>956</v>
      </c>
      <c r="I102" s="16">
        <v>46192</v>
      </c>
      <c r="J102" s="17" t="s">
        <v>11</v>
      </c>
      <c r="K102" s="17" t="s">
        <v>1165</v>
      </c>
    </row>
    <row r="103" spans="1:11">
      <c r="A103" s="17" t="s">
        <v>582</v>
      </c>
      <c r="B103" s="17" t="s">
        <v>581</v>
      </c>
      <c r="C103" s="17" t="s">
        <v>549</v>
      </c>
      <c r="D103" s="17" t="s">
        <v>1166</v>
      </c>
      <c r="E103" s="17" t="s">
        <v>972</v>
      </c>
      <c r="F103" s="17" t="s">
        <v>20</v>
      </c>
      <c r="G103" s="17" t="s">
        <v>963</v>
      </c>
      <c r="H103" s="17" t="s">
        <v>956</v>
      </c>
      <c r="I103" s="16">
        <v>46199</v>
      </c>
      <c r="J103" s="17" t="s">
        <v>11</v>
      </c>
      <c r="K103" s="17" t="s">
        <v>1167</v>
      </c>
    </row>
    <row r="104" spans="1:11">
      <c r="A104" s="17" t="s">
        <v>585</v>
      </c>
      <c r="B104" s="17" t="s">
        <v>584</v>
      </c>
      <c r="C104" s="17" t="s">
        <v>554</v>
      </c>
      <c r="D104" s="17" t="s">
        <v>1168</v>
      </c>
      <c r="E104" s="17" t="s">
        <v>975</v>
      </c>
      <c r="F104" s="17" t="s">
        <v>20</v>
      </c>
      <c r="G104" s="17" t="s">
        <v>955</v>
      </c>
      <c r="H104" s="17" t="s">
        <v>956</v>
      </c>
      <c r="I104" s="16">
        <v>46206</v>
      </c>
      <c r="J104" s="17" t="s">
        <v>11</v>
      </c>
      <c r="K104" s="17" t="s">
        <v>1169</v>
      </c>
    </row>
    <row r="105" spans="1:11">
      <c r="A105" s="17" t="s">
        <v>588</v>
      </c>
      <c r="B105" s="17" t="s">
        <v>587</v>
      </c>
      <c r="C105" s="17" t="s">
        <v>559</v>
      </c>
      <c r="D105" s="17" t="s">
        <v>1170</v>
      </c>
      <c r="E105" s="17" t="s">
        <v>978</v>
      </c>
      <c r="F105" s="17" t="s">
        <v>20</v>
      </c>
      <c r="G105" s="17" t="s">
        <v>955</v>
      </c>
      <c r="H105" s="17" t="s">
        <v>956</v>
      </c>
      <c r="I105" s="16">
        <v>46213</v>
      </c>
      <c r="J105" s="17" t="s">
        <v>11</v>
      </c>
      <c r="K105" s="17" t="s">
        <v>1171</v>
      </c>
    </row>
    <row r="106" spans="1:11">
      <c r="A106" s="17" t="s">
        <v>591</v>
      </c>
      <c r="B106" s="17" t="s">
        <v>590</v>
      </c>
      <c r="C106" s="17" t="s">
        <v>564</v>
      </c>
      <c r="D106" s="17" t="s">
        <v>1172</v>
      </c>
      <c r="E106" s="17" t="s">
        <v>954</v>
      </c>
      <c r="F106" s="17" t="s">
        <v>20</v>
      </c>
      <c r="G106" s="17" t="s">
        <v>963</v>
      </c>
      <c r="H106" s="17" t="s">
        <v>956</v>
      </c>
      <c r="I106" s="16">
        <v>46220</v>
      </c>
      <c r="J106" s="17" t="s">
        <v>11</v>
      </c>
      <c r="K106" s="17" t="s">
        <v>1173</v>
      </c>
    </row>
    <row r="107" spans="1:11">
      <c r="A107" s="17" t="s">
        <v>594</v>
      </c>
      <c r="B107" s="17" t="s">
        <v>593</v>
      </c>
      <c r="C107" s="17" t="s">
        <v>568</v>
      </c>
      <c r="D107" s="17" t="s">
        <v>1174</v>
      </c>
      <c r="E107" s="17" t="s">
        <v>959</v>
      </c>
      <c r="F107" s="17" t="s">
        <v>20</v>
      </c>
      <c r="G107" s="17" t="s">
        <v>955</v>
      </c>
      <c r="H107" s="17" t="s">
        <v>956</v>
      </c>
      <c r="I107" s="16">
        <v>46227</v>
      </c>
      <c r="J107" s="17" t="s">
        <v>11</v>
      </c>
      <c r="K107" s="17" t="s">
        <v>1175</v>
      </c>
    </row>
    <row r="108" spans="1:11">
      <c r="A108" s="17" t="s">
        <v>597</v>
      </c>
      <c r="B108" s="17" t="s">
        <v>596</v>
      </c>
      <c r="C108" s="17" t="s">
        <v>572</v>
      </c>
      <c r="D108" s="17" t="s">
        <v>1176</v>
      </c>
      <c r="E108" s="17" t="s">
        <v>962</v>
      </c>
      <c r="F108" s="17" t="s">
        <v>20</v>
      </c>
      <c r="G108" s="17" t="s">
        <v>955</v>
      </c>
      <c r="H108" s="17" t="s">
        <v>956</v>
      </c>
      <c r="I108" s="16">
        <v>46234</v>
      </c>
      <c r="J108" s="17" t="s">
        <v>11</v>
      </c>
      <c r="K108" s="17" t="s">
        <v>1177</v>
      </c>
    </row>
    <row r="109" spans="1:11">
      <c r="A109" s="17" t="s">
        <v>600</v>
      </c>
      <c r="B109" s="17" t="s">
        <v>599</v>
      </c>
      <c r="C109" s="17" t="s">
        <v>538</v>
      </c>
      <c r="D109" s="17" t="s">
        <v>1178</v>
      </c>
      <c r="E109" s="17" t="s">
        <v>966</v>
      </c>
      <c r="F109" s="17" t="s">
        <v>20</v>
      </c>
      <c r="G109" s="17" t="s">
        <v>963</v>
      </c>
      <c r="H109" s="17" t="s">
        <v>956</v>
      </c>
      <c r="I109" s="16">
        <v>46241</v>
      </c>
      <c r="J109" s="17" t="s">
        <v>11</v>
      </c>
      <c r="K109" s="17" t="s">
        <v>1179</v>
      </c>
    </row>
    <row r="110" spans="1:11">
      <c r="A110" s="17" t="s">
        <v>603</v>
      </c>
      <c r="B110" s="17" t="s">
        <v>602</v>
      </c>
      <c r="C110" s="17" t="s">
        <v>544</v>
      </c>
      <c r="D110" s="17" t="s">
        <v>1180</v>
      </c>
      <c r="E110" s="17" t="s">
        <v>969</v>
      </c>
      <c r="F110" s="17" t="s">
        <v>20</v>
      </c>
      <c r="G110" s="17" t="s">
        <v>955</v>
      </c>
      <c r="H110" s="17" t="s">
        <v>956</v>
      </c>
      <c r="I110" s="16">
        <v>46248</v>
      </c>
      <c r="J110" s="17" t="s">
        <v>11</v>
      </c>
      <c r="K110" s="17" t="s">
        <v>1181</v>
      </c>
    </row>
    <row r="111" spans="1:11">
      <c r="A111" s="17" t="s">
        <v>606</v>
      </c>
      <c r="B111" s="17" t="s">
        <v>605</v>
      </c>
      <c r="C111" s="17" t="s">
        <v>549</v>
      </c>
      <c r="D111" s="17" t="s">
        <v>1182</v>
      </c>
      <c r="E111" s="17" t="s">
        <v>972</v>
      </c>
      <c r="F111" s="17" t="s">
        <v>20</v>
      </c>
      <c r="G111" s="17" t="s">
        <v>955</v>
      </c>
      <c r="H111" s="17" t="s">
        <v>956</v>
      </c>
      <c r="I111" s="16">
        <v>46255</v>
      </c>
      <c r="J111" s="17" t="s">
        <v>11</v>
      </c>
      <c r="K111" s="17" t="s">
        <v>1183</v>
      </c>
    </row>
    <row r="112" spans="1:11">
      <c r="A112" s="17" t="s">
        <v>609</v>
      </c>
      <c r="B112" s="17" t="s">
        <v>608</v>
      </c>
      <c r="C112" s="17" t="s">
        <v>554</v>
      </c>
      <c r="D112" s="17" t="s">
        <v>1184</v>
      </c>
      <c r="E112" s="17" t="s">
        <v>975</v>
      </c>
      <c r="F112" s="17" t="s">
        <v>20</v>
      </c>
      <c r="G112" s="17" t="s">
        <v>963</v>
      </c>
      <c r="H112" s="17" t="s">
        <v>956</v>
      </c>
      <c r="I112" s="16">
        <v>46262</v>
      </c>
      <c r="J112" s="17" t="s">
        <v>11</v>
      </c>
      <c r="K112" s="17" t="s">
        <v>1185</v>
      </c>
    </row>
    <row r="113" spans="1:11">
      <c r="A113" s="17" t="s">
        <v>612</v>
      </c>
      <c r="B113" s="17" t="s">
        <v>611</v>
      </c>
      <c r="C113" s="17" t="s">
        <v>559</v>
      </c>
      <c r="D113" s="17" t="s">
        <v>1186</v>
      </c>
      <c r="E113" s="17" t="s">
        <v>978</v>
      </c>
      <c r="F113" s="17" t="s">
        <v>20</v>
      </c>
      <c r="G113" s="17" t="s">
        <v>955</v>
      </c>
      <c r="H113" s="17" t="s">
        <v>956</v>
      </c>
      <c r="I113" s="16">
        <v>46269</v>
      </c>
      <c r="J113" s="17" t="s">
        <v>11</v>
      </c>
      <c r="K113" s="17" t="s">
        <v>1187</v>
      </c>
    </row>
    <row r="114" spans="1:11">
      <c r="A114" s="17" t="s">
        <v>615</v>
      </c>
      <c r="B114" s="17" t="s">
        <v>614</v>
      </c>
      <c r="C114" s="17" t="s">
        <v>564</v>
      </c>
      <c r="D114" s="17" t="s">
        <v>1188</v>
      </c>
      <c r="E114" s="17" t="s">
        <v>954</v>
      </c>
      <c r="F114" s="17" t="s">
        <v>20</v>
      </c>
      <c r="G114" s="17" t="s">
        <v>955</v>
      </c>
      <c r="H114" s="17" t="s">
        <v>956</v>
      </c>
      <c r="I114" s="16">
        <v>46276</v>
      </c>
      <c r="J114" s="17" t="s">
        <v>11</v>
      </c>
      <c r="K114" s="17" t="s">
        <v>1189</v>
      </c>
    </row>
    <row r="115" spans="1:11">
      <c r="A115" s="17" t="s">
        <v>618</v>
      </c>
      <c r="B115" s="17" t="s">
        <v>617</v>
      </c>
      <c r="C115" s="17" t="s">
        <v>568</v>
      </c>
      <c r="D115" s="17" t="s">
        <v>1190</v>
      </c>
      <c r="E115" s="17" t="s">
        <v>959</v>
      </c>
      <c r="F115" s="17" t="s">
        <v>20</v>
      </c>
      <c r="G115" s="17" t="s">
        <v>963</v>
      </c>
      <c r="H115" s="17" t="s">
        <v>956</v>
      </c>
      <c r="I115" s="16">
        <v>46283</v>
      </c>
      <c r="J115" s="17" t="s">
        <v>11</v>
      </c>
      <c r="K115" s="17" t="s">
        <v>1191</v>
      </c>
    </row>
    <row r="116" spans="1:11">
      <c r="A116" s="17" t="s">
        <v>621</v>
      </c>
      <c r="B116" s="17" t="s">
        <v>620</v>
      </c>
      <c r="C116" s="17" t="s">
        <v>572</v>
      </c>
      <c r="D116" s="17" t="s">
        <v>1192</v>
      </c>
      <c r="E116" s="17" t="s">
        <v>962</v>
      </c>
      <c r="F116" s="17" t="s">
        <v>20</v>
      </c>
      <c r="G116" s="17" t="s">
        <v>955</v>
      </c>
      <c r="H116" s="17" t="s">
        <v>956</v>
      </c>
      <c r="I116" s="16">
        <v>46290</v>
      </c>
      <c r="J116" s="17" t="s">
        <v>11</v>
      </c>
      <c r="K116" s="17" t="s">
        <v>1193</v>
      </c>
    </row>
    <row r="117" spans="1:11">
      <c r="A117" s="17" t="s">
        <v>624</v>
      </c>
      <c r="B117" s="17" t="s">
        <v>623</v>
      </c>
      <c r="C117" s="17" t="s">
        <v>538</v>
      </c>
      <c r="D117" s="17" t="s">
        <v>1194</v>
      </c>
      <c r="E117" s="17" t="s">
        <v>966</v>
      </c>
      <c r="F117" s="17" t="s">
        <v>20</v>
      </c>
      <c r="G117" s="17" t="s">
        <v>955</v>
      </c>
      <c r="H117" s="17" t="s">
        <v>956</v>
      </c>
      <c r="I117" s="16">
        <v>46297</v>
      </c>
      <c r="J117" s="17" t="s">
        <v>11</v>
      </c>
      <c r="K117" s="17" t="s">
        <v>1195</v>
      </c>
    </row>
    <row r="118" spans="1:11">
      <c r="A118" s="17" t="s">
        <v>627</v>
      </c>
      <c r="B118" s="17" t="s">
        <v>626</v>
      </c>
      <c r="C118" s="17" t="s">
        <v>544</v>
      </c>
      <c r="D118" s="17" t="s">
        <v>1196</v>
      </c>
      <c r="E118" s="17" t="s">
        <v>969</v>
      </c>
      <c r="F118" s="17" t="s">
        <v>20</v>
      </c>
      <c r="G118" s="17" t="s">
        <v>963</v>
      </c>
      <c r="H118" s="17" t="s">
        <v>956</v>
      </c>
      <c r="I118" s="16">
        <v>46304</v>
      </c>
      <c r="J118" s="17" t="s">
        <v>11</v>
      </c>
      <c r="K118" s="17" t="s">
        <v>1197</v>
      </c>
    </row>
    <row r="119" spans="1:11">
      <c r="A119" s="17" t="s">
        <v>630</v>
      </c>
      <c r="B119" s="17" t="s">
        <v>629</v>
      </c>
      <c r="C119" s="17" t="s">
        <v>549</v>
      </c>
      <c r="D119" s="17" t="s">
        <v>1198</v>
      </c>
      <c r="E119" s="17" t="s">
        <v>972</v>
      </c>
      <c r="F119" s="17" t="s">
        <v>20</v>
      </c>
      <c r="G119" s="17" t="s">
        <v>955</v>
      </c>
      <c r="H119" s="17" t="s">
        <v>956</v>
      </c>
      <c r="I119" s="16">
        <v>46311</v>
      </c>
      <c r="J119" s="17" t="s">
        <v>11</v>
      </c>
      <c r="K119" s="17" t="s">
        <v>1199</v>
      </c>
    </row>
    <row r="120" spans="1:11">
      <c r="A120" s="17" t="s">
        <v>633</v>
      </c>
      <c r="B120" s="17" t="s">
        <v>632</v>
      </c>
      <c r="C120" s="17" t="s">
        <v>554</v>
      </c>
      <c r="D120" s="17" t="s">
        <v>1200</v>
      </c>
      <c r="E120" s="17" t="s">
        <v>975</v>
      </c>
      <c r="F120" s="17" t="s">
        <v>20</v>
      </c>
      <c r="G120" s="17" t="s">
        <v>955</v>
      </c>
      <c r="H120" s="17" t="s">
        <v>956</v>
      </c>
      <c r="I120" s="16">
        <v>46318</v>
      </c>
      <c r="J120" s="17" t="s">
        <v>11</v>
      </c>
      <c r="K120" s="17" t="s">
        <v>1201</v>
      </c>
    </row>
    <row r="121" spans="1:11">
      <c r="A121" s="17" t="s">
        <v>636</v>
      </c>
      <c r="B121" s="17" t="s">
        <v>635</v>
      </c>
      <c r="C121" s="17" t="s">
        <v>559</v>
      </c>
      <c r="D121" s="17" t="s">
        <v>1202</v>
      </c>
      <c r="E121" s="17" t="s">
        <v>978</v>
      </c>
      <c r="F121" s="17" t="s">
        <v>20</v>
      </c>
      <c r="G121" s="17" t="s">
        <v>963</v>
      </c>
      <c r="H121" s="17" t="s">
        <v>956</v>
      </c>
      <c r="I121" s="16">
        <v>46157</v>
      </c>
      <c r="J121" s="17" t="s">
        <v>11</v>
      </c>
      <c r="K121" s="17" t="s">
        <v>1203</v>
      </c>
    </row>
    <row r="122" spans="1:11">
      <c r="A122" s="17" t="s">
        <v>639</v>
      </c>
      <c r="B122" s="17" t="s">
        <v>638</v>
      </c>
      <c r="C122" s="17" t="s">
        <v>564</v>
      </c>
      <c r="D122" s="17" t="s">
        <v>1204</v>
      </c>
      <c r="E122" s="17" t="s">
        <v>954</v>
      </c>
      <c r="F122" s="17" t="s">
        <v>20</v>
      </c>
      <c r="G122" s="17" t="s">
        <v>955</v>
      </c>
      <c r="H122" s="17" t="s">
        <v>956</v>
      </c>
      <c r="I122" s="16">
        <v>46164</v>
      </c>
      <c r="J122" s="17" t="s">
        <v>11</v>
      </c>
      <c r="K122" s="17" t="s">
        <v>1205</v>
      </c>
    </row>
    <row r="123" spans="1:11">
      <c r="A123" s="17" t="s">
        <v>645</v>
      </c>
      <c r="B123" s="17" t="s">
        <v>641</v>
      </c>
      <c r="C123" s="17" t="s">
        <v>644</v>
      </c>
      <c r="D123" s="17" t="s">
        <v>1206</v>
      </c>
      <c r="E123" s="17" t="s">
        <v>959</v>
      </c>
      <c r="F123" s="17" t="s">
        <v>17</v>
      </c>
      <c r="G123" s="17" t="s">
        <v>955</v>
      </c>
      <c r="H123" s="17" t="s">
        <v>956</v>
      </c>
      <c r="I123" s="16">
        <v>46171</v>
      </c>
      <c r="J123" s="17" t="s">
        <v>11</v>
      </c>
      <c r="K123" s="17" t="s">
        <v>1207</v>
      </c>
    </row>
    <row r="124" spans="1:11">
      <c r="A124" s="17" t="s">
        <v>650</v>
      </c>
      <c r="B124" s="17" t="s">
        <v>647</v>
      </c>
      <c r="C124" s="17" t="s">
        <v>649</v>
      </c>
      <c r="D124" s="17" t="s">
        <v>1208</v>
      </c>
      <c r="E124" s="17" t="s">
        <v>962</v>
      </c>
      <c r="F124" s="17" t="s">
        <v>17</v>
      </c>
      <c r="G124" s="17" t="s">
        <v>963</v>
      </c>
      <c r="H124" s="17" t="s">
        <v>956</v>
      </c>
      <c r="I124" s="16">
        <v>46178</v>
      </c>
      <c r="J124" s="17" t="s">
        <v>11</v>
      </c>
      <c r="K124" s="17" t="s">
        <v>1209</v>
      </c>
    </row>
    <row r="125" spans="1:11">
      <c r="A125" s="17" t="s">
        <v>655</v>
      </c>
      <c r="B125" s="17" t="s">
        <v>652</v>
      </c>
      <c r="C125" s="17" t="s">
        <v>654</v>
      </c>
      <c r="D125" s="17" t="s">
        <v>1210</v>
      </c>
      <c r="E125" s="17" t="s">
        <v>966</v>
      </c>
      <c r="F125" s="17" t="s">
        <v>17</v>
      </c>
      <c r="G125" s="17" t="s">
        <v>955</v>
      </c>
      <c r="H125" s="17" t="s">
        <v>956</v>
      </c>
      <c r="I125" s="16">
        <v>46185</v>
      </c>
      <c r="J125" s="17" t="s">
        <v>11</v>
      </c>
      <c r="K125" s="17" t="s">
        <v>1211</v>
      </c>
    </row>
    <row r="126" spans="1:11">
      <c r="A126" s="17" t="s">
        <v>660</v>
      </c>
      <c r="B126" s="17" t="s">
        <v>657</v>
      </c>
      <c r="C126" s="17" t="s">
        <v>659</v>
      </c>
      <c r="D126" s="17" t="s">
        <v>1212</v>
      </c>
      <c r="E126" s="17" t="s">
        <v>969</v>
      </c>
      <c r="F126" s="17" t="s">
        <v>17</v>
      </c>
      <c r="G126" s="17" t="s">
        <v>955</v>
      </c>
      <c r="H126" s="17" t="s">
        <v>956</v>
      </c>
      <c r="I126" s="16">
        <v>46192</v>
      </c>
      <c r="J126" s="17" t="s">
        <v>11</v>
      </c>
      <c r="K126" s="17" t="s">
        <v>1213</v>
      </c>
    </row>
    <row r="127" spans="1:11">
      <c r="A127" s="17" t="s">
        <v>665</v>
      </c>
      <c r="B127" s="17" t="s">
        <v>662</v>
      </c>
      <c r="C127" s="17" t="s">
        <v>664</v>
      </c>
      <c r="D127" s="17" t="s">
        <v>1214</v>
      </c>
      <c r="E127" s="17" t="s">
        <v>972</v>
      </c>
      <c r="F127" s="17" t="s">
        <v>17</v>
      </c>
      <c r="G127" s="17" t="s">
        <v>963</v>
      </c>
      <c r="H127" s="17" t="s">
        <v>956</v>
      </c>
      <c r="I127" s="16">
        <v>46199</v>
      </c>
      <c r="J127" s="17" t="s">
        <v>11</v>
      </c>
      <c r="K127" s="17" t="s">
        <v>1215</v>
      </c>
    </row>
    <row r="128" spans="1:11">
      <c r="A128" s="17" t="s">
        <v>668</v>
      </c>
      <c r="B128" s="17" t="s">
        <v>667</v>
      </c>
      <c r="C128" s="17" t="s">
        <v>644</v>
      </c>
      <c r="D128" s="17" t="s">
        <v>1216</v>
      </c>
      <c r="E128" s="17" t="s">
        <v>975</v>
      </c>
      <c r="F128" s="17" t="s">
        <v>17</v>
      </c>
      <c r="G128" s="17" t="s">
        <v>955</v>
      </c>
      <c r="H128" s="17" t="s">
        <v>956</v>
      </c>
      <c r="I128" s="16">
        <v>46206</v>
      </c>
      <c r="J128" s="17" t="s">
        <v>11</v>
      </c>
      <c r="K128" s="17" t="s">
        <v>1217</v>
      </c>
    </row>
    <row r="129" spans="1:11">
      <c r="A129" s="17" t="s">
        <v>671</v>
      </c>
      <c r="B129" s="17" t="s">
        <v>670</v>
      </c>
      <c r="C129" s="17" t="s">
        <v>649</v>
      </c>
      <c r="D129" s="17" t="s">
        <v>1218</v>
      </c>
      <c r="E129" s="17" t="s">
        <v>978</v>
      </c>
      <c r="F129" s="17" t="s">
        <v>17</v>
      </c>
      <c r="G129" s="17" t="s">
        <v>955</v>
      </c>
      <c r="H129" s="17" t="s">
        <v>956</v>
      </c>
      <c r="I129" s="16">
        <v>46213</v>
      </c>
      <c r="J129" s="17" t="s">
        <v>11</v>
      </c>
      <c r="K129" s="17" t="s">
        <v>1219</v>
      </c>
    </row>
    <row r="130" spans="1:11">
      <c r="A130" s="17" t="s">
        <v>674</v>
      </c>
      <c r="B130" s="17" t="s">
        <v>673</v>
      </c>
      <c r="C130" s="17" t="s">
        <v>654</v>
      </c>
      <c r="D130" s="17" t="s">
        <v>1220</v>
      </c>
      <c r="E130" s="17" t="s">
        <v>954</v>
      </c>
      <c r="F130" s="17" t="s">
        <v>17</v>
      </c>
      <c r="G130" s="17" t="s">
        <v>963</v>
      </c>
      <c r="H130" s="17" t="s">
        <v>956</v>
      </c>
      <c r="I130" s="16">
        <v>46220</v>
      </c>
      <c r="J130" s="17" t="s">
        <v>11</v>
      </c>
      <c r="K130" s="17" t="s">
        <v>1221</v>
      </c>
    </row>
    <row r="131" spans="1:11">
      <c r="A131" s="17" t="s">
        <v>677</v>
      </c>
      <c r="B131" s="17" t="s">
        <v>676</v>
      </c>
      <c r="C131" s="17" t="s">
        <v>659</v>
      </c>
      <c r="D131" s="17" t="s">
        <v>1222</v>
      </c>
      <c r="E131" s="17" t="s">
        <v>959</v>
      </c>
      <c r="F131" s="17" t="s">
        <v>17</v>
      </c>
      <c r="G131" s="17" t="s">
        <v>955</v>
      </c>
      <c r="H131" s="17" t="s">
        <v>956</v>
      </c>
      <c r="I131" s="16">
        <v>46227</v>
      </c>
      <c r="J131" s="17" t="s">
        <v>11</v>
      </c>
      <c r="K131" s="17" t="s">
        <v>1223</v>
      </c>
    </row>
    <row r="132" spans="1:11">
      <c r="A132" s="17" t="s">
        <v>680</v>
      </c>
      <c r="B132" s="17" t="s">
        <v>679</v>
      </c>
      <c r="C132" s="17" t="s">
        <v>664</v>
      </c>
      <c r="D132" s="17" t="s">
        <v>1224</v>
      </c>
      <c r="E132" s="17" t="s">
        <v>962</v>
      </c>
      <c r="F132" s="17" t="s">
        <v>17</v>
      </c>
      <c r="G132" s="17" t="s">
        <v>955</v>
      </c>
      <c r="H132" s="17" t="s">
        <v>956</v>
      </c>
      <c r="I132" s="16">
        <v>46234</v>
      </c>
      <c r="J132" s="17" t="s">
        <v>11</v>
      </c>
      <c r="K132" s="17" t="s">
        <v>1225</v>
      </c>
    </row>
    <row r="133" spans="1:11">
      <c r="A133" s="17" t="s">
        <v>683</v>
      </c>
      <c r="B133" s="17" t="s">
        <v>682</v>
      </c>
      <c r="C133" s="17" t="s">
        <v>644</v>
      </c>
      <c r="D133" s="17" t="s">
        <v>1226</v>
      </c>
      <c r="E133" s="17" t="s">
        <v>966</v>
      </c>
      <c r="F133" s="17" t="s">
        <v>17</v>
      </c>
      <c r="G133" s="17" t="s">
        <v>963</v>
      </c>
      <c r="H133" s="17" t="s">
        <v>956</v>
      </c>
      <c r="I133" s="16">
        <v>46241</v>
      </c>
      <c r="J133" s="17" t="s">
        <v>11</v>
      </c>
      <c r="K133" s="17" t="s">
        <v>1227</v>
      </c>
    </row>
    <row r="134" spans="1:11">
      <c r="A134" s="17" t="s">
        <v>686</v>
      </c>
      <c r="B134" s="17" t="s">
        <v>685</v>
      </c>
      <c r="C134" s="17" t="s">
        <v>649</v>
      </c>
      <c r="D134" s="17" t="s">
        <v>1228</v>
      </c>
      <c r="E134" s="17" t="s">
        <v>969</v>
      </c>
      <c r="F134" s="17" t="s">
        <v>17</v>
      </c>
      <c r="G134" s="17" t="s">
        <v>955</v>
      </c>
      <c r="H134" s="17" t="s">
        <v>956</v>
      </c>
      <c r="I134" s="16">
        <v>46248</v>
      </c>
      <c r="J134" s="17" t="s">
        <v>11</v>
      </c>
      <c r="K134" s="17" t="s">
        <v>1229</v>
      </c>
    </row>
    <row r="135" spans="1:11">
      <c r="A135" s="17" t="s">
        <v>689</v>
      </c>
      <c r="B135" s="17" t="s">
        <v>688</v>
      </c>
      <c r="C135" s="17" t="s">
        <v>654</v>
      </c>
      <c r="D135" s="17" t="s">
        <v>1230</v>
      </c>
      <c r="E135" s="17" t="s">
        <v>972</v>
      </c>
      <c r="F135" s="17" t="s">
        <v>17</v>
      </c>
      <c r="G135" s="17" t="s">
        <v>955</v>
      </c>
      <c r="H135" s="17" t="s">
        <v>956</v>
      </c>
      <c r="I135" s="16">
        <v>46255</v>
      </c>
      <c r="J135" s="17" t="s">
        <v>11</v>
      </c>
      <c r="K135" s="17" t="s">
        <v>1231</v>
      </c>
    </row>
    <row r="136" spans="1:11">
      <c r="A136" s="17" t="s">
        <v>692</v>
      </c>
      <c r="B136" s="17" t="s">
        <v>691</v>
      </c>
      <c r="C136" s="17" t="s">
        <v>659</v>
      </c>
      <c r="D136" s="17" t="s">
        <v>1232</v>
      </c>
      <c r="E136" s="17" t="s">
        <v>975</v>
      </c>
      <c r="F136" s="17" t="s">
        <v>17</v>
      </c>
      <c r="G136" s="17" t="s">
        <v>963</v>
      </c>
      <c r="H136" s="17" t="s">
        <v>956</v>
      </c>
      <c r="I136" s="16">
        <v>46262</v>
      </c>
      <c r="J136" s="17" t="s">
        <v>11</v>
      </c>
      <c r="K136" s="17" t="s">
        <v>1233</v>
      </c>
    </row>
    <row r="137" spans="1:11">
      <c r="A137" s="17" t="s">
        <v>695</v>
      </c>
      <c r="B137" s="17" t="s">
        <v>694</v>
      </c>
      <c r="C137" s="17" t="s">
        <v>664</v>
      </c>
      <c r="D137" s="17" t="s">
        <v>1234</v>
      </c>
      <c r="E137" s="17" t="s">
        <v>978</v>
      </c>
      <c r="F137" s="17" t="s">
        <v>17</v>
      </c>
      <c r="G137" s="17" t="s">
        <v>955</v>
      </c>
      <c r="H137" s="17" t="s">
        <v>956</v>
      </c>
      <c r="I137" s="16">
        <v>46269</v>
      </c>
      <c r="J137" s="17" t="s">
        <v>11</v>
      </c>
      <c r="K137" s="17" t="s">
        <v>1235</v>
      </c>
    </row>
    <row r="138" spans="1:11">
      <c r="A138" s="17" t="s">
        <v>698</v>
      </c>
      <c r="B138" s="17" t="s">
        <v>697</v>
      </c>
      <c r="C138" s="17" t="s">
        <v>644</v>
      </c>
      <c r="D138" s="17" t="s">
        <v>1236</v>
      </c>
      <c r="E138" s="17" t="s">
        <v>954</v>
      </c>
      <c r="F138" s="17" t="s">
        <v>17</v>
      </c>
      <c r="G138" s="17" t="s">
        <v>955</v>
      </c>
      <c r="H138" s="17" t="s">
        <v>956</v>
      </c>
      <c r="I138" s="16">
        <v>46276</v>
      </c>
      <c r="J138" s="17" t="s">
        <v>11</v>
      </c>
      <c r="K138" s="17" t="s">
        <v>1237</v>
      </c>
    </row>
    <row r="139" spans="1:11">
      <c r="A139" s="17" t="s">
        <v>701</v>
      </c>
      <c r="B139" s="17" t="s">
        <v>700</v>
      </c>
      <c r="C139" s="17" t="s">
        <v>649</v>
      </c>
      <c r="D139" s="17" t="s">
        <v>1238</v>
      </c>
      <c r="E139" s="17" t="s">
        <v>959</v>
      </c>
      <c r="F139" s="17" t="s">
        <v>17</v>
      </c>
      <c r="G139" s="17" t="s">
        <v>963</v>
      </c>
      <c r="H139" s="17" t="s">
        <v>956</v>
      </c>
      <c r="I139" s="16">
        <v>46283</v>
      </c>
      <c r="J139" s="17" t="s">
        <v>11</v>
      </c>
      <c r="K139" s="17" t="s">
        <v>1239</v>
      </c>
    </row>
    <row r="140" spans="1:11">
      <c r="A140" s="17" t="s">
        <v>704</v>
      </c>
      <c r="B140" s="17" t="s">
        <v>703</v>
      </c>
      <c r="C140" s="17" t="s">
        <v>654</v>
      </c>
      <c r="D140" s="17" t="s">
        <v>1240</v>
      </c>
      <c r="E140" s="17" t="s">
        <v>962</v>
      </c>
      <c r="F140" s="17" t="s">
        <v>17</v>
      </c>
      <c r="G140" s="17" t="s">
        <v>955</v>
      </c>
      <c r="H140" s="17" t="s">
        <v>956</v>
      </c>
      <c r="I140" s="16">
        <v>46290</v>
      </c>
      <c r="J140" s="17" t="s">
        <v>11</v>
      </c>
      <c r="K140" s="17" t="s">
        <v>1241</v>
      </c>
    </row>
    <row r="141" spans="1:11">
      <c r="A141" s="17" t="s">
        <v>707</v>
      </c>
      <c r="B141" s="17" t="s">
        <v>706</v>
      </c>
      <c r="C141" s="17" t="s">
        <v>659</v>
      </c>
      <c r="D141" s="17" t="s">
        <v>1242</v>
      </c>
      <c r="E141" s="17" t="s">
        <v>966</v>
      </c>
      <c r="F141" s="17" t="s">
        <v>17</v>
      </c>
      <c r="G141" s="17" t="s">
        <v>955</v>
      </c>
      <c r="H141" s="17" t="s">
        <v>956</v>
      </c>
      <c r="I141" s="16">
        <v>46297</v>
      </c>
      <c r="J141" s="17" t="s">
        <v>11</v>
      </c>
      <c r="K141" s="17" t="s">
        <v>1243</v>
      </c>
    </row>
    <row r="142" spans="1:11">
      <c r="A142" s="17" t="s">
        <v>710</v>
      </c>
      <c r="B142" s="17" t="s">
        <v>709</v>
      </c>
      <c r="C142" s="17" t="s">
        <v>664</v>
      </c>
      <c r="D142" s="17" t="s">
        <v>1244</v>
      </c>
      <c r="E142" s="17" t="s">
        <v>969</v>
      </c>
      <c r="F142" s="17" t="s">
        <v>17</v>
      </c>
      <c r="G142" s="17" t="s">
        <v>963</v>
      </c>
      <c r="H142" s="17" t="s">
        <v>956</v>
      </c>
      <c r="I142" s="16">
        <v>46304</v>
      </c>
      <c r="J142" s="17" t="s">
        <v>11</v>
      </c>
      <c r="K142" s="17" t="s">
        <v>1245</v>
      </c>
    </row>
    <row r="143" spans="1:11">
      <c r="A143" s="17" t="s">
        <v>716</v>
      </c>
      <c r="B143" s="17" t="s">
        <v>712</v>
      </c>
      <c r="C143" s="17" t="s">
        <v>715</v>
      </c>
      <c r="D143" s="17" t="s">
        <v>1246</v>
      </c>
      <c r="E143" s="17" t="s">
        <v>972</v>
      </c>
      <c r="F143" s="17" t="s">
        <v>27</v>
      </c>
      <c r="G143" s="17" t="s">
        <v>955</v>
      </c>
      <c r="H143" s="17" t="s">
        <v>956</v>
      </c>
      <c r="I143" s="16">
        <v>46311</v>
      </c>
      <c r="J143" s="17" t="s">
        <v>11</v>
      </c>
      <c r="K143" s="17" t="s">
        <v>1247</v>
      </c>
    </row>
    <row r="144" spans="1:11">
      <c r="A144" s="17" t="s">
        <v>721</v>
      </c>
      <c r="B144" s="17" t="s">
        <v>718</v>
      </c>
      <c r="C144" s="17" t="s">
        <v>720</v>
      </c>
      <c r="D144" s="17" t="s">
        <v>1248</v>
      </c>
      <c r="E144" s="17" t="s">
        <v>975</v>
      </c>
      <c r="F144" s="17" t="s">
        <v>27</v>
      </c>
      <c r="G144" s="17" t="s">
        <v>955</v>
      </c>
      <c r="H144" s="17" t="s">
        <v>956</v>
      </c>
      <c r="I144" s="16">
        <v>46318</v>
      </c>
      <c r="J144" s="17" t="s">
        <v>11</v>
      </c>
      <c r="K144" s="17" t="s">
        <v>1249</v>
      </c>
    </row>
    <row r="145" spans="1:11">
      <c r="A145" s="17" t="s">
        <v>726</v>
      </c>
      <c r="B145" s="17" t="s">
        <v>723</v>
      </c>
      <c r="C145" s="17" t="s">
        <v>725</v>
      </c>
      <c r="D145" s="17" t="s">
        <v>1250</v>
      </c>
      <c r="E145" s="17" t="s">
        <v>978</v>
      </c>
      <c r="F145" s="17" t="s">
        <v>27</v>
      </c>
      <c r="G145" s="17" t="s">
        <v>963</v>
      </c>
      <c r="H145" s="17" t="s">
        <v>956</v>
      </c>
      <c r="I145" s="16">
        <v>46157</v>
      </c>
      <c r="J145" s="17" t="s">
        <v>11</v>
      </c>
      <c r="K145" s="17" t="s">
        <v>1251</v>
      </c>
    </row>
    <row r="146" spans="1:11">
      <c r="A146" s="17" t="s">
        <v>731</v>
      </c>
      <c r="B146" s="17" t="s">
        <v>728</v>
      </c>
      <c r="C146" s="17" t="s">
        <v>730</v>
      </c>
      <c r="D146" s="17" t="s">
        <v>1252</v>
      </c>
      <c r="E146" s="17" t="s">
        <v>954</v>
      </c>
      <c r="F146" s="17" t="s">
        <v>27</v>
      </c>
      <c r="G146" s="17" t="s">
        <v>955</v>
      </c>
      <c r="H146" s="17" t="s">
        <v>956</v>
      </c>
      <c r="I146" s="16">
        <v>46164</v>
      </c>
      <c r="J146" s="17" t="s">
        <v>11</v>
      </c>
      <c r="K146" s="17" t="s">
        <v>1253</v>
      </c>
    </row>
    <row r="147" spans="1:11">
      <c r="A147" s="17" t="s">
        <v>736</v>
      </c>
      <c r="B147" s="17" t="s">
        <v>733</v>
      </c>
      <c r="C147" s="17" t="s">
        <v>735</v>
      </c>
      <c r="D147" s="17" t="s">
        <v>1254</v>
      </c>
      <c r="E147" s="17" t="s">
        <v>959</v>
      </c>
      <c r="F147" s="17" t="s">
        <v>27</v>
      </c>
      <c r="G147" s="17" t="s">
        <v>955</v>
      </c>
      <c r="H147" s="17" t="s">
        <v>956</v>
      </c>
      <c r="I147" s="16">
        <v>46171</v>
      </c>
      <c r="J147" s="17" t="s">
        <v>11</v>
      </c>
      <c r="K147" s="17" t="s">
        <v>1255</v>
      </c>
    </row>
    <row r="148" spans="1:11">
      <c r="A148" s="17" t="s">
        <v>740</v>
      </c>
      <c r="B148" s="17" t="s">
        <v>738</v>
      </c>
      <c r="C148" s="17" t="s">
        <v>739</v>
      </c>
      <c r="D148" s="17" t="s">
        <v>1256</v>
      </c>
      <c r="E148" s="17" t="s">
        <v>962</v>
      </c>
      <c r="F148" s="17" t="s">
        <v>27</v>
      </c>
      <c r="G148" s="17" t="s">
        <v>963</v>
      </c>
      <c r="H148" s="17" t="s">
        <v>956</v>
      </c>
      <c r="I148" s="16">
        <v>46178</v>
      </c>
      <c r="J148" s="17" t="s">
        <v>11</v>
      </c>
      <c r="K148" s="17" t="s">
        <v>1257</v>
      </c>
    </row>
    <row r="149" spans="1:11">
      <c r="A149" s="17" t="s">
        <v>743</v>
      </c>
      <c r="B149" s="17" t="s">
        <v>742</v>
      </c>
      <c r="C149" s="17" t="s">
        <v>715</v>
      </c>
      <c r="D149" s="17" t="s">
        <v>1258</v>
      </c>
      <c r="E149" s="17" t="s">
        <v>966</v>
      </c>
      <c r="F149" s="17" t="s">
        <v>27</v>
      </c>
      <c r="G149" s="17" t="s">
        <v>955</v>
      </c>
      <c r="H149" s="17" t="s">
        <v>956</v>
      </c>
      <c r="I149" s="16">
        <v>46185</v>
      </c>
      <c r="J149" s="17" t="s">
        <v>11</v>
      </c>
      <c r="K149" s="17" t="s">
        <v>1259</v>
      </c>
    </row>
    <row r="150" spans="1:11">
      <c r="A150" s="17" t="s">
        <v>746</v>
      </c>
      <c r="B150" s="17" t="s">
        <v>745</v>
      </c>
      <c r="C150" s="17" t="s">
        <v>720</v>
      </c>
      <c r="D150" s="17" t="s">
        <v>1260</v>
      </c>
      <c r="E150" s="17" t="s">
        <v>969</v>
      </c>
      <c r="F150" s="17" t="s">
        <v>27</v>
      </c>
      <c r="G150" s="17" t="s">
        <v>955</v>
      </c>
      <c r="H150" s="17" t="s">
        <v>956</v>
      </c>
      <c r="I150" s="16">
        <v>46192</v>
      </c>
      <c r="J150" s="17" t="s">
        <v>11</v>
      </c>
      <c r="K150" s="17" t="s">
        <v>1261</v>
      </c>
    </row>
    <row r="151" spans="1:11">
      <c r="A151" s="17" t="s">
        <v>749</v>
      </c>
      <c r="B151" s="17" t="s">
        <v>748</v>
      </c>
      <c r="C151" s="17" t="s">
        <v>725</v>
      </c>
      <c r="D151" s="17" t="s">
        <v>1262</v>
      </c>
      <c r="E151" s="17" t="s">
        <v>972</v>
      </c>
      <c r="F151" s="17" t="s">
        <v>27</v>
      </c>
      <c r="G151" s="17" t="s">
        <v>963</v>
      </c>
      <c r="H151" s="17" t="s">
        <v>956</v>
      </c>
      <c r="I151" s="16">
        <v>46199</v>
      </c>
      <c r="J151" s="17" t="s">
        <v>11</v>
      </c>
      <c r="K151" s="17" t="s">
        <v>1263</v>
      </c>
    </row>
    <row r="152" spans="1:11">
      <c r="A152" s="17" t="s">
        <v>752</v>
      </c>
      <c r="B152" s="17" t="s">
        <v>751</v>
      </c>
      <c r="C152" s="17" t="s">
        <v>730</v>
      </c>
      <c r="D152" s="17" t="s">
        <v>1264</v>
      </c>
      <c r="E152" s="17" t="s">
        <v>975</v>
      </c>
      <c r="F152" s="17" t="s">
        <v>27</v>
      </c>
      <c r="G152" s="17" t="s">
        <v>955</v>
      </c>
      <c r="H152" s="17" t="s">
        <v>956</v>
      </c>
      <c r="I152" s="16">
        <v>46206</v>
      </c>
      <c r="J152" s="17" t="s">
        <v>11</v>
      </c>
      <c r="K152" s="17" t="s">
        <v>1265</v>
      </c>
    </row>
    <row r="153" spans="1:11">
      <c r="A153" s="17" t="s">
        <v>755</v>
      </c>
      <c r="B153" s="17" t="s">
        <v>754</v>
      </c>
      <c r="C153" s="17" t="s">
        <v>735</v>
      </c>
      <c r="D153" s="17" t="s">
        <v>1266</v>
      </c>
      <c r="E153" s="17" t="s">
        <v>978</v>
      </c>
      <c r="F153" s="17" t="s">
        <v>27</v>
      </c>
      <c r="G153" s="17" t="s">
        <v>955</v>
      </c>
      <c r="H153" s="17" t="s">
        <v>956</v>
      </c>
      <c r="I153" s="16">
        <v>46213</v>
      </c>
      <c r="J153" s="17" t="s">
        <v>11</v>
      </c>
      <c r="K153" s="17" t="s">
        <v>1267</v>
      </c>
    </row>
    <row r="154" spans="1:11">
      <c r="A154" s="17" t="s">
        <v>758</v>
      </c>
      <c r="B154" s="17" t="s">
        <v>757</v>
      </c>
      <c r="C154" s="17" t="s">
        <v>739</v>
      </c>
      <c r="D154" s="17" t="s">
        <v>1268</v>
      </c>
      <c r="E154" s="17" t="s">
        <v>954</v>
      </c>
      <c r="F154" s="17" t="s">
        <v>27</v>
      </c>
      <c r="G154" s="17" t="s">
        <v>963</v>
      </c>
      <c r="H154" s="17" t="s">
        <v>956</v>
      </c>
      <c r="I154" s="16">
        <v>46220</v>
      </c>
      <c r="J154" s="17" t="s">
        <v>11</v>
      </c>
      <c r="K154" s="17" t="s">
        <v>1269</v>
      </c>
    </row>
    <row r="155" spans="1:11">
      <c r="A155" s="17" t="s">
        <v>761</v>
      </c>
      <c r="B155" s="17" t="s">
        <v>760</v>
      </c>
      <c r="C155" s="17" t="s">
        <v>715</v>
      </c>
      <c r="D155" s="17" t="s">
        <v>1270</v>
      </c>
      <c r="E155" s="17" t="s">
        <v>959</v>
      </c>
      <c r="F155" s="17" t="s">
        <v>27</v>
      </c>
      <c r="G155" s="17" t="s">
        <v>955</v>
      </c>
      <c r="H155" s="17" t="s">
        <v>956</v>
      </c>
      <c r="I155" s="16">
        <v>46227</v>
      </c>
      <c r="J155" s="17" t="s">
        <v>11</v>
      </c>
      <c r="K155" s="17" t="s">
        <v>1271</v>
      </c>
    </row>
    <row r="156" spans="1:11">
      <c r="A156" s="17" t="s">
        <v>764</v>
      </c>
      <c r="B156" s="17" t="s">
        <v>763</v>
      </c>
      <c r="C156" s="17" t="s">
        <v>720</v>
      </c>
      <c r="D156" s="17" t="s">
        <v>1272</v>
      </c>
      <c r="E156" s="17" t="s">
        <v>962</v>
      </c>
      <c r="F156" s="17" t="s">
        <v>27</v>
      </c>
      <c r="G156" s="17" t="s">
        <v>955</v>
      </c>
      <c r="H156" s="17" t="s">
        <v>956</v>
      </c>
      <c r="I156" s="16">
        <v>46234</v>
      </c>
      <c r="J156" s="17" t="s">
        <v>11</v>
      </c>
      <c r="K156" s="17" t="s">
        <v>1273</v>
      </c>
    </row>
    <row r="157" spans="1:11">
      <c r="A157" s="17" t="s">
        <v>767</v>
      </c>
      <c r="B157" s="17" t="s">
        <v>766</v>
      </c>
      <c r="C157" s="17" t="s">
        <v>725</v>
      </c>
      <c r="D157" s="17" t="s">
        <v>1274</v>
      </c>
      <c r="E157" s="17" t="s">
        <v>966</v>
      </c>
      <c r="F157" s="17" t="s">
        <v>27</v>
      </c>
      <c r="G157" s="17" t="s">
        <v>963</v>
      </c>
      <c r="H157" s="17" t="s">
        <v>956</v>
      </c>
      <c r="I157" s="16">
        <v>46241</v>
      </c>
      <c r="J157" s="17" t="s">
        <v>11</v>
      </c>
      <c r="K157" s="17" t="s">
        <v>1275</v>
      </c>
    </row>
    <row r="158" spans="1:11">
      <c r="A158" s="17" t="s">
        <v>770</v>
      </c>
      <c r="B158" s="17" t="s">
        <v>769</v>
      </c>
      <c r="C158" s="17" t="s">
        <v>730</v>
      </c>
      <c r="D158" s="17" t="s">
        <v>1276</v>
      </c>
      <c r="E158" s="17" t="s">
        <v>969</v>
      </c>
      <c r="F158" s="17" t="s">
        <v>27</v>
      </c>
      <c r="G158" s="17" t="s">
        <v>955</v>
      </c>
      <c r="H158" s="17" t="s">
        <v>956</v>
      </c>
      <c r="I158" s="16">
        <v>46248</v>
      </c>
      <c r="J158" s="17" t="s">
        <v>11</v>
      </c>
      <c r="K158" s="17" t="s">
        <v>1277</v>
      </c>
    </row>
    <row r="159" spans="1:11">
      <c r="A159" s="17" t="s">
        <v>773</v>
      </c>
      <c r="B159" s="17" t="s">
        <v>772</v>
      </c>
      <c r="C159" s="17" t="s">
        <v>735</v>
      </c>
      <c r="D159" s="17" t="s">
        <v>1278</v>
      </c>
      <c r="E159" s="17" t="s">
        <v>972</v>
      </c>
      <c r="F159" s="17" t="s">
        <v>27</v>
      </c>
      <c r="G159" s="17" t="s">
        <v>955</v>
      </c>
      <c r="H159" s="17" t="s">
        <v>956</v>
      </c>
      <c r="I159" s="16">
        <v>46255</v>
      </c>
      <c r="J159" s="17" t="s">
        <v>11</v>
      </c>
      <c r="K159" s="17" t="s">
        <v>1279</v>
      </c>
    </row>
    <row r="160" spans="1:11">
      <c r="A160" s="17" t="s">
        <v>776</v>
      </c>
      <c r="B160" s="17" t="s">
        <v>775</v>
      </c>
      <c r="C160" s="17" t="s">
        <v>739</v>
      </c>
      <c r="D160" s="17" t="s">
        <v>1280</v>
      </c>
      <c r="E160" s="17" t="s">
        <v>975</v>
      </c>
      <c r="F160" s="17" t="s">
        <v>27</v>
      </c>
      <c r="G160" s="17" t="s">
        <v>963</v>
      </c>
      <c r="H160" s="17" t="s">
        <v>956</v>
      </c>
      <c r="I160" s="16">
        <v>46262</v>
      </c>
      <c r="J160" s="17" t="s">
        <v>11</v>
      </c>
      <c r="K160" s="17" t="s">
        <v>1281</v>
      </c>
    </row>
    <row r="161" spans="1:11">
      <c r="A161" s="17" t="s">
        <v>782</v>
      </c>
      <c r="B161" s="17" t="s">
        <v>778</v>
      </c>
      <c r="C161" s="17" t="s">
        <v>781</v>
      </c>
      <c r="D161" s="17" t="s">
        <v>1282</v>
      </c>
      <c r="E161" s="17" t="s">
        <v>978</v>
      </c>
      <c r="F161" s="17" t="s">
        <v>17</v>
      </c>
      <c r="G161" s="17" t="s">
        <v>955</v>
      </c>
      <c r="H161" s="17" t="s">
        <v>956</v>
      </c>
      <c r="I161" s="16">
        <v>46269</v>
      </c>
      <c r="J161" s="17" t="s">
        <v>11</v>
      </c>
      <c r="K161" s="17" t="s">
        <v>1283</v>
      </c>
    </row>
    <row r="162" spans="1:11">
      <c r="A162" s="17" t="s">
        <v>787</v>
      </c>
      <c r="B162" s="17" t="s">
        <v>784</v>
      </c>
      <c r="C162" s="17" t="s">
        <v>786</v>
      </c>
      <c r="D162" s="17" t="s">
        <v>1284</v>
      </c>
      <c r="E162" s="17" t="s">
        <v>954</v>
      </c>
      <c r="F162" s="17" t="s">
        <v>17</v>
      </c>
      <c r="G162" s="17" t="s">
        <v>955</v>
      </c>
      <c r="H162" s="17" t="s">
        <v>956</v>
      </c>
      <c r="I162" s="16">
        <v>46276</v>
      </c>
      <c r="J162" s="17" t="s">
        <v>11</v>
      </c>
      <c r="K162" s="17" t="s">
        <v>1285</v>
      </c>
    </row>
    <row r="163" spans="1:11">
      <c r="A163" s="17" t="s">
        <v>792</v>
      </c>
      <c r="B163" s="17" t="s">
        <v>789</v>
      </c>
      <c r="C163" s="17" t="s">
        <v>791</v>
      </c>
      <c r="D163" s="17" t="s">
        <v>1286</v>
      </c>
      <c r="E163" s="17" t="s">
        <v>959</v>
      </c>
      <c r="F163" s="17" t="s">
        <v>17</v>
      </c>
      <c r="G163" s="17" t="s">
        <v>963</v>
      </c>
      <c r="H163" s="17" t="s">
        <v>956</v>
      </c>
      <c r="I163" s="16">
        <v>46283</v>
      </c>
      <c r="J163" s="17" t="s">
        <v>11</v>
      </c>
      <c r="K163" s="17" t="s">
        <v>1287</v>
      </c>
    </row>
    <row r="164" spans="1:11">
      <c r="A164" s="17" t="s">
        <v>797</v>
      </c>
      <c r="B164" s="17" t="s">
        <v>794</v>
      </c>
      <c r="C164" s="17" t="s">
        <v>796</v>
      </c>
      <c r="D164" s="17" t="s">
        <v>1288</v>
      </c>
      <c r="E164" s="17" t="s">
        <v>962</v>
      </c>
      <c r="F164" s="17" t="s">
        <v>17</v>
      </c>
      <c r="G164" s="17" t="s">
        <v>955</v>
      </c>
      <c r="H164" s="17" t="s">
        <v>956</v>
      </c>
      <c r="I164" s="16">
        <v>46290</v>
      </c>
      <c r="J164" s="17" t="s">
        <v>11</v>
      </c>
      <c r="K164" s="17" t="s">
        <v>1289</v>
      </c>
    </row>
    <row r="165" spans="1:11">
      <c r="A165" s="17" t="s">
        <v>802</v>
      </c>
      <c r="B165" s="17" t="s">
        <v>799</v>
      </c>
      <c r="C165" s="17" t="s">
        <v>801</v>
      </c>
      <c r="D165" s="17" t="s">
        <v>1290</v>
      </c>
      <c r="E165" s="17" t="s">
        <v>966</v>
      </c>
      <c r="F165" s="17" t="s">
        <v>17</v>
      </c>
      <c r="G165" s="17" t="s">
        <v>955</v>
      </c>
      <c r="H165" s="17" t="s">
        <v>956</v>
      </c>
      <c r="I165" s="16">
        <v>46297</v>
      </c>
      <c r="J165" s="17" t="s">
        <v>11</v>
      </c>
      <c r="K165" s="17" t="s">
        <v>1291</v>
      </c>
    </row>
    <row r="166" spans="1:11">
      <c r="A166" s="17" t="s">
        <v>806</v>
      </c>
      <c r="B166" s="17" t="s">
        <v>804</v>
      </c>
      <c r="C166" s="17" t="s">
        <v>805</v>
      </c>
      <c r="D166" s="17" t="s">
        <v>1292</v>
      </c>
      <c r="E166" s="17" t="s">
        <v>969</v>
      </c>
      <c r="F166" s="17" t="s">
        <v>17</v>
      </c>
      <c r="G166" s="17" t="s">
        <v>963</v>
      </c>
      <c r="H166" s="17" t="s">
        <v>956</v>
      </c>
      <c r="I166" s="16">
        <v>46304</v>
      </c>
      <c r="J166" s="17" t="s">
        <v>11</v>
      </c>
      <c r="K166" s="17" t="s">
        <v>1293</v>
      </c>
    </row>
    <row r="167" spans="1:11">
      <c r="A167" s="17" t="s">
        <v>809</v>
      </c>
      <c r="B167" s="17" t="s">
        <v>808</v>
      </c>
      <c r="C167" s="17" t="s">
        <v>781</v>
      </c>
      <c r="D167" s="17" t="s">
        <v>1294</v>
      </c>
      <c r="E167" s="17" t="s">
        <v>972</v>
      </c>
      <c r="F167" s="17" t="s">
        <v>17</v>
      </c>
      <c r="G167" s="17" t="s">
        <v>963</v>
      </c>
      <c r="H167" s="17" t="s">
        <v>956</v>
      </c>
      <c r="I167" s="16">
        <v>46311</v>
      </c>
      <c r="J167" s="17" t="s">
        <v>11</v>
      </c>
      <c r="K167" s="17" t="s">
        <v>1295</v>
      </c>
    </row>
    <row r="168" spans="1:11">
      <c r="A168" s="17" t="s">
        <v>812</v>
      </c>
      <c r="B168" s="17" t="s">
        <v>811</v>
      </c>
      <c r="C168" s="17" t="s">
        <v>786</v>
      </c>
      <c r="D168" s="17" t="s">
        <v>1296</v>
      </c>
      <c r="E168" s="17" t="s">
        <v>975</v>
      </c>
      <c r="F168" s="17" t="s">
        <v>17</v>
      </c>
      <c r="G168" s="17" t="s">
        <v>963</v>
      </c>
      <c r="H168" s="17" t="s">
        <v>956</v>
      </c>
      <c r="I168" s="16">
        <v>46318</v>
      </c>
      <c r="J168" s="17" t="s">
        <v>11</v>
      </c>
      <c r="K168" s="17" t="s">
        <v>1297</v>
      </c>
    </row>
    <row r="169" spans="1:11">
      <c r="A169" s="17" t="s">
        <v>815</v>
      </c>
      <c r="B169" s="17" t="s">
        <v>814</v>
      </c>
      <c r="C169" s="17" t="s">
        <v>791</v>
      </c>
      <c r="D169" s="17" t="s">
        <v>1298</v>
      </c>
      <c r="E169" s="17" t="s">
        <v>978</v>
      </c>
      <c r="F169" s="17" t="s">
        <v>17</v>
      </c>
      <c r="G169" s="17" t="s">
        <v>963</v>
      </c>
      <c r="H169" s="17" t="s">
        <v>956</v>
      </c>
      <c r="I169" s="16">
        <v>46157</v>
      </c>
      <c r="J169" s="17" t="s">
        <v>11</v>
      </c>
      <c r="K169" s="17" t="s">
        <v>1299</v>
      </c>
    </row>
    <row r="170" spans="1:11">
      <c r="A170" s="17" t="s">
        <v>818</v>
      </c>
      <c r="B170" s="17" t="s">
        <v>817</v>
      </c>
      <c r="C170" s="17" t="s">
        <v>796</v>
      </c>
      <c r="D170" s="17" t="s">
        <v>1300</v>
      </c>
      <c r="E170" s="17" t="s">
        <v>954</v>
      </c>
      <c r="F170" s="17" t="s">
        <v>17</v>
      </c>
      <c r="G170" s="17" t="s">
        <v>963</v>
      </c>
      <c r="H170" s="17" t="s">
        <v>956</v>
      </c>
      <c r="I170" s="16">
        <v>46164</v>
      </c>
      <c r="J170" s="17" t="s">
        <v>11</v>
      </c>
      <c r="K170" s="17" t="s">
        <v>1301</v>
      </c>
    </row>
    <row r="171" spans="1:11">
      <c r="A171" s="17" t="s">
        <v>821</v>
      </c>
      <c r="B171" s="17" t="s">
        <v>820</v>
      </c>
      <c r="C171" s="17" t="s">
        <v>801</v>
      </c>
      <c r="D171" s="17" t="s">
        <v>1302</v>
      </c>
      <c r="E171" s="17" t="s">
        <v>959</v>
      </c>
      <c r="F171" s="17" t="s">
        <v>17</v>
      </c>
      <c r="G171" s="17" t="s">
        <v>963</v>
      </c>
      <c r="H171" s="17" t="s">
        <v>956</v>
      </c>
      <c r="I171" s="16">
        <v>46171</v>
      </c>
      <c r="J171" s="17" t="s">
        <v>11</v>
      </c>
      <c r="K171" s="17" t="s">
        <v>1303</v>
      </c>
    </row>
    <row r="172" spans="1:11">
      <c r="A172" s="17" t="s">
        <v>824</v>
      </c>
      <c r="B172" s="17" t="s">
        <v>823</v>
      </c>
      <c r="C172" s="17" t="s">
        <v>805</v>
      </c>
      <c r="D172" s="17" t="s">
        <v>1304</v>
      </c>
      <c r="E172" s="17" t="s">
        <v>962</v>
      </c>
      <c r="F172" s="17" t="s">
        <v>17</v>
      </c>
      <c r="G172" s="17" t="s">
        <v>963</v>
      </c>
      <c r="H172" s="17" t="s">
        <v>956</v>
      </c>
      <c r="I172" s="16">
        <v>46178</v>
      </c>
      <c r="J172" s="17" t="s">
        <v>11</v>
      </c>
      <c r="K172" s="17" t="s">
        <v>1305</v>
      </c>
    </row>
    <row r="173" spans="1:11">
      <c r="A173" s="17" t="s">
        <v>827</v>
      </c>
      <c r="B173" s="17" t="s">
        <v>826</v>
      </c>
      <c r="C173" s="17" t="s">
        <v>781</v>
      </c>
      <c r="D173" s="17" t="s">
        <v>1306</v>
      </c>
      <c r="E173" s="17" t="s">
        <v>966</v>
      </c>
      <c r="F173" s="17" t="s">
        <v>17</v>
      </c>
      <c r="G173" s="17" t="s">
        <v>963</v>
      </c>
      <c r="H173" s="17" t="s">
        <v>956</v>
      </c>
      <c r="I173" s="16">
        <v>46185</v>
      </c>
      <c r="J173" s="17" t="s">
        <v>11</v>
      </c>
      <c r="K173" s="17" t="s">
        <v>1307</v>
      </c>
    </row>
    <row r="174" spans="1:11">
      <c r="A174" s="17" t="s">
        <v>830</v>
      </c>
      <c r="B174" s="17" t="s">
        <v>829</v>
      </c>
      <c r="C174" s="17" t="s">
        <v>786</v>
      </c>
      <c r="D174" s="17" t="s">
        <v>1308</v>
      </c>
      <c r="E174" s="17" t="s">
        <v>969</v>
      </c>
      <c r="F174" s="17" t="s">
        <v>17</v>
      </c>
      <c r="G174" s="17" t="s">
        <v>963</v>
      </c>
      <c r="H174" s="17" t="s">
        <v>956</v>
      </c>
      <c r="I174" s="16">
        <v>46192</v>
      </c>
      <c r="J174" s="17" t="s">
        <v>11</v>
      </c>
      <c r="K174" s="17" t="s">
        <v>1309</v>
      </c>
    </row>
    <row r="175" spans="1:11">
      <c r="A175" s="17" t="s">
        <v>833</v>
      </c>
      <c r="B175" s="17" t="s">
        <v>832</v>
      </c>
      <c r="C175" s="17" t="s">
        <v>791</v>
      </c>
      <c r="D175" s="17" t="s">
        <v>1310</v>
      </c>
      <c r="E175" s="17" t="s">
        <v>972</v>
      </c>
      <c r="F175" s="17" t="s">
        <v>17</v>
      </c>
      <c r="G175" s="17" t="s">
        <v>963</v>
      </c>
      <c r="H175" s="17" t="s">
        <v>956</v>
      </c>
      <c r="I175" s="16">
        <v>46199</v>
      </c>
      <c r="J175" s="17" t="s">
        <v>11</v>
      </c>
      <c r="K175" s="17" t="s">
        <v>1311</v>
      </c>
    </row>
    <row r="176" spans="1:11">
      <c r="A176" s="17" t="s">
        <v>836</v>
      </c>
      <c r="B176" s="17" t="s">
        <v>835</v>
      </c>
      <c r="C176" s="17" t="s">
        <v>796</v>
      </c>
      <c r="D176" s="17" t="s">
        <v>1312</v>
      </c>
      <c r="E176" s="17" t="s">
        <v>975</v>
      </c>
      <c r="F176" s="17" t="s">
        <v>17</v>
      </c>
      <c r="G176" s="17" t="s">
        <v>963</v>
      </c>
      <c r="H176" s="17" t="s">
        <v>956</v>
      </c>
      <c r="I176" s="16">
        <v>46206</v>
      </c>
      <c r="J176" s="17" t="s">
        <v>11</v>
      </c>
      <c r="K176" s="17" t="s">
        <v>1313</v>
      </c>
    </row>
    <row r="177" spans="1:11">
      <c r="A177" s="17" t="s">
        <v>839</v>
      </c>
      <c r="B177" s="17" t="s">
        <v>838</v>
      </c>
      <c r="C177" s="17" t="s">
        <v>801</v>
      </c>
      <c r="D177" s="17" t="s">
        <v>1314</v>
      </c>
      <c r="E177" s="17" t="s">
        <v>978</v>
      </c>
      <c r="F177" s="17" t="s">
        <v>17</v>
      </c>
      <c r="G177" s="17" t="s">
        <v>963</v>
      </c>
      <c r="H177" s="17" t="s">
        <v>956</v>
      </c>
      <c r="I177" s="16">
        <v>46213</v>
      </c>
      <c r="J177" s="17" t="s">
        <v>11</v>
      </c>
      <c r="K177" s="17" t="s">
        <v>1315</v>
      </c>
    </row>
    <row r="178" spans="1:11">
      <c r="A178" s="17" t="s">
        <v>842</v>
      </c>
      <c r="B178" s="17" t="s">
        <v>841</v>
      </c>
      <c r="C178" s="17" t="s">
        <v>805</v>
      </c>
      <c r="D178" s="17" t="s">
        <v>1316</v>
      </c>
      <c r="E178" s="17" t="s">
        <v>954</v>
      </c>
      <c r="F178" s="17" t="s">
        <v>17</v>
      </c>
      <c r="G178" s="17" t="s">
        <v>963</v>
      </c>
      <c r="H178" s="17" t="s">
        <v>956</v>
      </c>
      <c r="I178" s="16">
        <v>46220</v>
      </c>
      <c r="J178" s="17" t="s">
        <v>11</v>
      </c>
      <c r="K178" s="17" t="s">
        <v>1317</v>
      </c>
    </row>
  </sheetData>
  <autoFilter ref="A1:L178" xr:uid="{00000000-0001-0000-0500-00000000000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21"/>
  <sheetViews>
    <sheetView workbookViewId="0">
      <selection activeCell="I59" sqref="I59"/>
    </sheetView>
  </sheetViews>
  <sheetFormatPr defaultRowHeight="12.75"/>
  <cols>
    <col min="1" max="1" width="11" style="4" customWidth="1"/>
    <col min="2" max="2" width="11.25" style="4" customWidth="1"/>
    <col min="3" max="3" width="9.875" style="4" customWidth="1"/>
    <col min="4" max="4" width="38.5" style="4" bestFit="1" customWidth="1"/>
    <col min="5" max="5" width="10.125" style="4" customWidth="1"/>
    <col min="6" max="6" width="15.625" style="4" customWidth="1"/>
    <col min="7" max="7" width="12.125" style="4" customWidth="1"/>
    <col min="8" max="8" width="10" style="5" customWidth="1"/>
    <col min="9" max="9" width="13.375" style="5" customWidth="1"/>
    <col min="10" max="10" width="12.375" style="4" customWidth="1"/>
    <col min="11" max="11" width="10.625" style="4" customWidth="1"/>
    <col min="12" max="12" width="15.25" style="4" customWidth="1"/>
    <col min="13" max="13" width="13.875" style="4" customWidth="1"/>
    <col min="14" max="14" width="14.875" style="4" customWidth="1"/>
    <col min="15" max="16384" width="9" style="4"/>
  </cols>
  <sheetData>
    <row r="1" spans="1:26" s="9" customFormat="1" ht="15.75">
      <c r="A1" s="10" t="s">
        <v>1318</v>
      </c>
      <c r="B1" s="10" t="s">
        <v>944</v>
      </c>
      <c r="C1" s="10" t="s">
        <v>844</v>
      </c>
      <c r="D1" s="10" t="s">
        <v>1319</v>
      </c>
      <c r="E1" s="10" t="s">
        <v>1320</v>
      </c>
      <c r="F1" s="10" t="s">
        <v>1321</v>
      </c>
      <c r="G1" s="10" t="s">
        <v>949</v>
      </c>
      <c r="H1" s="11" t="s">
        <v>1322</v>
      </c>
      <c r="I1" s="11" t="s">
        <v>1323</v>
      </c>
      <c r="J1" s="10" t="s">
        <v>1324</v>
      </c>
      <c r="K1" s="10" t="s">
        <v>3</v>
      </c>
      <c r="L1" s="10" t="s">
        <v>1325</v>
      </c>
      <c r="M1" s="10" t="s">
        <v>1326</v>
      </c>
      <c r="N1" s="10" t="s">
        <v>1327</v>
      </c>
      <c r="O1" s="8"/>
      <c r="P1" s="8"/>
      <c r="Q1" s="8"/>
      <c r="R1" s="8"/>
      <c r="S1" s="8"/>
      <c r="T1" s="8"/>
      <c r="U1" s="8"/>
      <c r="V1" s="8"/>
      <c r="W1" s="8"/>
      <c r="X1" s="8"/>
      <c r="Y1" s="8"/>
      <c r="Z1" s="8"/>
    </row>
    <row r="2" spans="1:26">
      <c r="A2" s="4" t="s">
        <v>1328</v>
      </c>
      <c r="B2" s="4" t="s">
        <v>97</v>
      </c>
      <c r="C2" s="4" t="s">
        <v>930</v>
      </c>
      <c r="D2" s="4" t="s">
        <v>1329</v>
      </c>
      <c r="E2" s="4" t="s">
        <v>100</v>
      </c>
      <c r="F2" s="4" t="s">
        <v>1330</v>
      </c>
      <c r="G2" s="4" t="s">
        <v>1331</v>
      </c>
      <c r="H2" s="5">
        <v>46144</v>
      </c>
      <c r="I2" s="5">
        <v>46174</v>
      </c>
      <c r="J2" s="4">
        <f t="shared" ref="J2:J33" ca="1" si="0">IF(K2="Closed",0,TODAY()-H2)</f>
        <v>2</v>
      </c>
      <c r="K2" s="4" t="s">
        <v>1332</v>
      </c>
      <c r="L2" s="4" t="s">
        <v>100</v>
      </c>
      <c r="M2" s="4" t="str">
        <f t="shared" ref="M2:M33" si="1">IF(AND(E2="Critical",K2&lt;&gt;"Closed"),"Yes","No")</f>
        <v>No</v>
      </c>
      <c r="N2" s="4" t="str">
        <f t="shared" ref="N2:N33" si="2">IF(AND(OR(E2="Critical",E2="High"),K2&lt;&gt;"Closed"),"Yes","No")</f>
        <v>Yes</v>
      </c>
    </row>
    <row r="3" spans="1:26">
      <c r="A3" s="4" t="s">
        <v>1333</v>
      </c>
      <c r="B3" s="4" t="s">
        <v>109</v>
      </c>
      <c r="C3" s="4" t="s">
        <v>932</v>
      </c>
      <c r="D3" s="4" t="s">
        <v>1334</v>
      </c>
      <c r="E3" s="4" t="s">
        <v>120</v>
      </c>
      <c r="F3" s="4" t="s">
        <v>1335</v>
      </c>
      <c r="G3" s="4" t="s">
        <v>1331</v>
      </c>
      <c r="H3" s="5">
        <v>46145</v>
      </c>
      <c r="I3" s="5">
        <v>46205</v>
      </c>
      <c r="J3" s="4">
        <f t="shared" ca="1" si="0"/>
        <v>1</v>
      </c>
      <c r="K3" s="4" t="s">
        <v>1332</v>
      </c>
      <c r="L3" s="4" t="s">
        <v>120</v>
      </c>
      <c r="M3" s="4" t="str">
        <f t="shared" si="1"/>
        <v>No</v>
      </c>
      <c r="N3" s="4" t="str">
        <f t="shared" si="2"/>
        <v>No</v>
      </c>
    </row>
    <row r="4" spans="1:26">
      <c r="A4" s="4" t="s">
        <v>1336</v>
      </c>
      <c r="B4" s="4" t="s">
        <v>118</v>
      </c>
      <c r="C4" s="4" t="s">
        <v>928</v>
      </c>
      <c r="D4" s="4" t="s">
        <v>1337</v>
      </c>
      <c r="E4" s="4" t="s">
        <v>1338</v>
      </c>
      <c r="F4" s="4" t="s">
        <v>1339</v>
      </c>
      <c r="G4" s="4" t="s">
        <v>1331</v>
      </c>
      <c r="H4" s="5">
        <v>46146</v>
      </c>
      <c r="I4" s="5">
        <v>46236</v>
      </c>
      <c r="J4" s="4">
        <f t="shared" ca="1" si="0"/>
        <v>0</v>
      </c>
      <c r="K4" s="4" t="s">
        <v>1332</v>
      </c>
      <c r="L4" s="4" t="s">
        <v>120</v>
      </c>
      <c r="M4" s="4" t="str">
        <f t="shared" si="1"/>
        <v>No</v>
      </c>
      <c r="N4" s="4" t="str">
        <f t="shared" si="2"/>
        <v>No</v>
      </c>
    </row>
    <row r="5" spans="1:26">
      <c r="A5" s="4" t="s">
        <v>1340</v>
      </c>
      <c r="B5" s="4" t="s">
        <v>128</v>
      </c>
      <c r="C5" s="4" t="s">
        <v>867</v>
      </c>
      <c r="D5" s="4" t="s">
        <v>1341</v>
      </c>
      <c r="E5" s="4" t="s">
        <v>537</v>
      </c>
      <c r="F5" s="4" t="s">
        <v>1342</v>
      </c>
      <c r="G5" s="4" t="s">
        <v>1331</v>
      </c>
      <c r="H5" s="5">
        <v>46147</v>
      </c>
      <c r="I5" s="5">
        <v>46162</v>
      </c>
      <c r="J5" s="4">
        <f t="shared" ca="1" si="0"/>
        <v>-1</v>
      </c>
      <c r="K5" s="4" t="s">
        <v>1332</v>
      </c>
      <c r="L5" s="4" t="s">
        <v>100</v>
      </c>
      <c r="M5" s="4" t="str">
        <f t="shared" si="1"/>
        <v>Yes</v>
      </c>
      <c r="N5" s="4" t="str">
        <f t="shared" si="2"/>
        <v>Yes</v>
      </c>
    </row>
    <row r="6" spans="1:26">
      <c r="A6" s="4" t="s">
        <v>1343</v>
      </c>
      <c r="B6" s="4" t="s">
        <v>137</v>
      </c>
      <c r="C6" s="4" t="s">
        <v>939</v>
      </c>
      <c r="D6" s="4" t="s">
        <v>1344</v>
      </c>
      <c r="E6" s="4" t="s">
        <v>100</v>
      </c>
      <c r="F6" s="4" t="s">
        <v>1345</v>
      </c>
      <c r="G6" s="4" t="s">
        <v>1331</v>
      </c>
      <c r="H6" s="5">
        <v>46148</v>
      </c>
      <c r="I6" s="5">
        <v>46178</v>
      </c>
      <c r="J6" s="4">
        <f t="shared" ca="1" si="0"/>
        <v>-2</v>
      </c>
      <c r="K6" s="4" t="s">
        <v>1332</v>
      </c>
      <c r="L6" s="4" t="s">
        <v>100</v>
      </c>
      <c r="M6" s="4" t="str">
        <f t="shared" si="1"/>
        <v>No</v>
      </c>
      <c r="N6" s="4" t="str">
        <f t="shared" si="2"/>
        <v>Yes</v>
      </c>
    </row>
    <row r="7" spans="1:26">
      <c r="A7" s="4" t="s">
        <v>1346</v>
      </c>
      <c r="B7" s="4" t="s">
        <v>145</v>
      </c>
      <c r="C7" s="4" t="s">
        <v>880</v>
      </c>
      <c r="D7" s="4" t="s">
        <v>1347</v>
      </c>
      <c r="E7" s="4" t="s">
        <v>120</v>
      </c>
      <c r="F7" s="4" t="s">
        <v>1330</v>
      </c>
      <c r="G7" s="4" t="s">
        <v>1331</v>
      </c>
      <c r="H7" s="5">
        <v>46149</v>
      </c>
      <c r="I7" s="5">
        <v>46209</v>
      </c>
      <c r="J7" s="4">
        <f t="shared" ca="1" si="0"/>
        <v>-3</v>
      </c>
      <c r="K7" s="4" t="s">
        <v>1348</v>
      </c>
      <c r="L7" s="4" t="s">
        <v>1338</v>
      </c>
      <c r="M7" s="4" t="str">
        <f t="shared" si="1"/>
        <v>No</v>
      </c>
      <c r="N7" s="4" t="str">
        <f t="shared" si="2"/>
        <v>No</v>
      </c>
    </row>
    <row r="8" spans="1:26">
      <c r="A8" s="4" t="s">
        <v>1349</v>
      </c>
      <c r="B8" s="4" t="s">
        <v>153</v>
      </c>
      <c r="C8" s="4" t="s">
        <v>930</v>
      </c>
      <c r="D8" s="4" t="s">
        <v>1350</v>
      </c>
      <c r="E8" s="4" t="s">
        <v>1338</v>
      </c>
      <c r="F8" s="4" t="s">
        <v>1335</v>
      </c>
      <c r="G8" s="4" t="s">
        <v>1331</v>
      </c>
      <c r="H8" s="5">
        <v>46150</v>
      </c>
      <c r="I8" s="5">
        <v>46240</v>
      </c>
      <c r="J8" s="4">
        <f t="shared" ca="1" si="0"/>
        <v>-4</v>
      </c>
      <c r="K8" s="4" t="s">
        <v>1332</v>
      </c>
      <c r="L8" s="4" t="s">
        <v>120</v>
      </c>
      <c r="M8" s="4" t="str">
        <f t="shared" si="1"/>
        <v>No</v>
      </c>
      <c r="N8" s="4" t="str">
        <f t="shared" si="2"/>
        <v>No</v>
      </c>
    </row>
    <row r="9" spans="1:26">
      <c r="A9" s="4" t="s">
        <v>1351</v>
      </c>
      <c r="B9" s="4" t="s">
        <v>159</v>
      </c>
      <c r="C9" s="4" t="s">
        <v>932</v>
      </c>
      <c r="D9" s="4" t="s">
        <v>1352</v>
      </c>
      <c r="E9" s="4" t="s">
        <v>537</v>
      </c>
      <c r="F9" s="4" t="s">
        <v>1339</v>
      </c>
      <c r="G9" s="4" t="s">
        <v>1331</v>
      </c>
      <c r="H9" s="5">
        <v>46151</v>
      </c>
      <c r="I9" s="5">
        <v>46166</v>
      </c>
      <c r="J9" s="4">
        <f t="shared" ca="1" si="0"/>
        <v>-5</v>
      </c>
      <c r="K9" s="4" t="s">
        <v>1332</v>
      </c>
      <c r="L9" s="4" t="s">
        <v>100</v>
      </c>
      <c r="M9" s="4" t="str">
        <f t="shared" si="1"/>
        <v>Yes</v>
      </c>
      <c r="N9" s="4" t="str">
        <f t="shared" si="2"/>
        <v>Yes</v>
      </c>
    </row>
    <row r="10" spans="1:26">
      <c r="A10" s="4" t="s">
        <v>1353</v>
      </c>
      <c r="B10" s="4" t="s">
        <v>165</v>
      </c>
      <c r="C10" s="4" t="s">
        <v>928</v>
      </c>
      <c r="D10" s="4" t="s">
        <v>1354</v>
      </c>
      <c r="E10" s="4" t="s">
        <v>100</v>
      </c>
      <c r="F10" s="4" t="s">
        <v>1342</v>
      </c>
      <c r="G10" s="4" t="s">
        <v>1331</v>
      </c>
      <c r="H10" s="5">
        <v>46152</v>
      </c>
      <c r="I10" s="5">
        <v>46182</v>
      </c>
      <c r="J10" s="4">
        <f t="shared" ca="1" si="0"/>
        <v>-6</v>
      </c>
      <c r="K10" s="4" t="s">
        <v>1332</v>
      </c>
      <c r="L10" s="4" t="s">
        <v>100</v>
      </c>
      <c r="M10" s="4" t="str">
        <f t="shared" si="1"/>
        <v>No</v>
      </c>
      <c r="N10" s="4" t="str">
        <f t="shared" si="2"/>
        <v>Yes</v>
      </c>
    </row>
    <row r="11" spans="1:26">
      <c r="A11" s="4" t="s">
        <v>1355</v>
      </c>
      <c r="B11" s="4" t="s">
        <v>171</v>
      </c>
      <c r="C11" s="4" t="s">
        <v>867</v>
      </c>
      <c r="D11" s="4" t="s">
        <v>1356</v>
      </c>
      <c r="E11" s="4" t="s">
        <v>120</v>
      </c>
      <c r="F11" s="4" t="s">
        <v>1345</v>
      </c>
      <c r="G11" s="4" t="s">
        <v>1331</v>
      </c>
      <c r="H11" s="5">
        <v>46153</v>
      </c>
      <c r="I11" s="5">
        <v>46213</v>
      </c>
      <c r="J11" s="4">
        <f t="shared" ca="1" si="0"/>
        <v>-7</v>
      </c>
      <c r="K11" s="4" t="s">
        <v>1332</v>
      </c>
      <c r="L11" s="4" t="s">
        <v>120</v>
      </c>
      <c r="M11" s="4" t="str">
        <f t="shared" si="1"/>
        <v>No</v>
      </c>
      <c r="N11" s="4" t="str">
        <f t="shared" si="2"/>
        <v>No</v>
      </c>
    </row>
    <row r="12" spans="1:26">
      <c r="A12" s="4" t="s">
        <v>1357</v>
      </c>
      <c r="B12" s="4" t="s">
        <v>177</v>
      </c>
      <c r="C12" s="4" t="s">
        <v>939</v>
      </c>
      <c r="D12" s="4" t="s">
        <v>1358</v>
      </c>
      <c r="E12" s="4" t="s">
        <v>1338</v>
      </c>
      <c r="F12" s="4" t="s">
        <v>1330</v>
      </c>
      <c r="G12" s="4" t="s">
        <v>1331</v>
      </c>
      <c r="H12" s="5">
        <v>46154</v>
      </c>
      <c r="I12" s="5">
        <v>46244</v>
      </c>
      <c r="J12" s="4">
        <f t="shared" ca="1" si="0"/>
        <v>-8</v>
      </c>
      <c r="K12" s="4" t="s">
        <v>1332</v>
      </c>
      <c r="L12" s="4" t="s">
        <v>120</v>
      </c>
      <c r="M12" s="4" t="str">
        <f t="shared" si="1"/>
        <v>No</v>
      </c>
      <c r="N12" s="4" t="str">
        <f t="shared" si="2"/>
        <v>No</v>
      </c>
    </row>
    <row r="13" spans="1:26">
      <c r="A13" s="4" t="s">
        <v>1359</v>
      </c>
      <c r="B13" s="4" t="s">
        <v>183</v>
      </c>
      <c r="C13" s="4" t="s">
        <v>880</v>
      </c>
      <c r="D13" s="4" t="s">
        <v>1360</v>
      </c>
      <c r="E13" s="4" t="s">
        <v>537</v>
      </c>
      <c r="F13" s="4" t="s">
        <v>1335</v>
      </c>
      <c r="G13" s="4" t="s">
        <v>1331</v>
      </c>
      <c r="H13" s="5">
        <v>46155</v>
      </c>
      <c r="I13" s="5">
        <v>46170</v>
      </c>
      <c r="J13" s="4">
        <f t="shared" ca="1" si="0"/>
        <v>-9</v>
      </c>
      <c r="K13" s="4" t="s">
        <v>1348</v>
      </c>
      <c r="L13" s="4" t="s">
        <v>1338</v>
      </c>
      <c r="M13" s="4" t="str">
        <f t="shared" si="1"/>
        <v>Yes</v>
      </c>
      <c r="N13" s="4" t="str">
        <f t="shared" si="2"/>
        <v>Yes</v>
      </c>
    </row>
    <row r="14" spans="1:26">
      <c r="A14" s="4" t="s">
        <v>1361</v>
      </c>
      <c r="B14" s="4" t="s">
        <v>189</v>
      </c>
      <c r="C14" s="4" t="s">
        <v>930</v>
      </c>
      <c r="D14" s="4" t="s">
        <v>1362</v>
      </c>
      <c r="E14" s="4" t="s">
        <v>100</v>
      </c>
      <c r="F14" s="4" t="s">
        <v>1339</v>
      </c>
      <c r="G14" s="4" t="s">
        <v>1331</v>
      </c>
      <c r="H14" s="5">
        <v>46156</v>
      </c>
      <c r="I14" s="5">
        <v>46186</v>
      </c>
      <c r="J14" s="4">
        <f t="shared" ca="1" si="0"/>
        <v>-10</v>
      </c>
      <c r="K14" s="4" t="s">
        <v>1332</v>
      </c>
      <c r="L14" s="4" t="s">
        <v>100</v>
      </c>
      <c r="M14" s="4" t="str">
        <f t="shared" si="1"/>
        <v>No</v>
      </c>
      <c r="N14" s="4" t="str">
        <f t="shared" si="2"/>
        <v>Yes</v>
      </c>
    </row>
    <row r="15" spans="1:26">
      <c r="A15" s="4" t="s">
        <v>1363</v>
      </c>
      <c r="B15" s="4" t="s">
        <v>195</v>
      </c>
      <c r="C15" s="4" t="s">
        <v>932</v>
      </c>
      <c r="D15" s="4" t="s">
        <v>1364</v>
      </c>
      <c r="E15" s="4" t="s">
        <v>120</v>
      </c>
      <c r="F15" s="4" t="s">
        <v>1342</v>
      </c>
      <c r="G15" s="4" t="s">
        <v>1331</v>
      </c>
      <c r="H15" s="5">
        <v>46157</v>
      </c>
      <c r="I15" s="5">
        <v>46217</v>
      </c>
      <c r="J15" s="4">
        <f t="shared" ca="1" si="0"/>
        <v>-11</v>
      </c>
      <c r="K15" s="4" t="s">
        <v>1332</v>
      </c>
      <c r="L15" s="4" t="s">
        <v>120</v>
      </c>
      <c r="M15" s="4" t="str">
        <f t="shared" si="1"/>
        <v>No</v>
      </c>
      <c r="N15" s="4" t="str">
        <f t="shared" si="2"/>
        <v>No</v>
      </c>
    </row>
    <row r="16" spans="1:26">
      <c r="A16" s="4" t="s">
        <v>1365</v>
      </c>
      <c r="B16" s="4" t="s">
        <v>201</v>
      </c>
      <c r="C16" s="4" t="s">
        <v>928</v>
      </c>
      <c r="D16" s="4" t="s">
        <v>1366</v>
      </c>
      <c r="E16" s="4" t="s">
        <v>1338</v>
      </c>
      <c r="F16" s="4" t="s">
        <v>1345</v>
      </c>
      <c r="G16" s="4" t="s">
        <v>1331</v>
      </c>
      <c r="H16" s="5">
        <v>46158</v>
      </c>
      <c r="I16" s="5">
        <v>46248</v>
      </c>
      <c r="J16" s="4">
        <f t="shared" ca="1" si="0"/>
        <v>-12</v>
      </c>
      <c r="K16" s="4" t="s">
        <v>1332</v>
      </c>
      <c r="L16" s="4" t="s">
        <v>120</v>
      </c>
      <c r="M16" s="4" t="str">
        <f t="shared" si="1"/>
        <v>No</v>
      </c>
      <c r="N16" s="4" t="str">
        <f t="shared" si="2"/>
        <v>No</v>
      </c>
    </row>
    <row r="17" spans="1:14">
      <c r="A17" s="4" t="s">
        <v>1367</v>
      </c>
      <c r="B17" s="4" t="s">
        <v>207</v>
      </c>
      <c r="C17" s="4" t="s">
        <v>867</v>
      </c>
      <c r="D17" s="4" t="s">
        <v>1368</v>
      </c>
      <c r="E17" s="4" t="s">
        <v>537</v>
      </c>
      <c r="F17" s="4" t="s">
        <v>1330</v>
      </c>
      <c r="G17" s="4" t="s">
        <v>1331</v>
      </c>
      <c r="H17" s="5">
        <v>46159</v>
      </c>
      <c r="I17" s="5">
        <v>46174</v>
      </c>
      <c r="J17" s="4">
        <f t="shared" ca="1" si="0"/>
        <v>-13</v>
      </c>
      <c r="K17" s="4" t="s">
        <v>1332</v>
      </c>
      <c r="L17" s="4" t="s">
        <v>100</v>
      </c>
      <c r="M17" s="4" t="str">
        <f t="shared" si="1"/>
        <v>Yes</v>
      </c>
      <c r="N17" s="4" t="str">
        <f t="shared" si="2"/>
        <v>Yes</v>
      </c>
    </row>
    <row r="18" spans="1:14">
      <c r="A18" s="4" t="s">
        <v>1369</v>
      </c>
      <c r="B18" s="4" t="s">
        <v>213</v>
      </c>
      <c r="C18" s="4" t="s">
        <v>939</v>
      </c>
      <c r="D18" s="4" t="s">
        <v>1370</v>
      </c>
      <c r="E18" s="4" t="s">
        <v>100</v>
      </c>
      <c r="F18" s="4" t="s">
        <v>1335</v>
      </c>
      <c r="G18" s="4" t="s">
        <v>1331</v>
      </c>
      <c r="H18" s="5">
        <v>46160</v>
      </c>
      <c r="I18" s="5">
        <v>46190</v>
      </c>
      <c r="J18" s="4">
        <f t="shared" ca="1" si="0"/>
        <v>-14</v>
      </c>
      <c r="K18" s="4" t="s">
        <v>1332</v>
      </c>
      <c r="L18" s="4" t="s">
        <v>100</v>
      </c>
      <c r="M18" s="4" t="str">
        <f t="shared" si="1"/>
        <v>No</v>
      </c>
      <c r="N18" s="4" t="str">
        <f t="shared" si="2"/>
        <v>Yes</v>
      </c>
    </row>
    <row r="19" spans="1:14">
      <c r="A19" s="4" t="s">
        <v>1371</v>
      </c>
      <c r="B19" s="4" t="s">
        <v>218</v>
      </c>
      <c r="C19" s="4" t="s">
        <v>880</v>
      </c>
      <c r="D19" s="4" t="s">
        <v>1372</v>
      </c>
      <c r="E19" s="4" t="s">
        <v>120</v>
      </c>
      <c r="F19" s="4" t="s">
        <v>1339</v>
      </c>
      <c r="G19" s="4" t="s">
        <v>1331</v>
      </c>
      <c r="H19" s="5">
        <v>46161</v>
      </c>
      <c r="I19" s="5">
        <v>46221</v>
      </c>
      <c r="J19" s="4">
        <f t="shared" ca="1" si="0"/>
        <v>-15</v>
      </c>
      <c r="K19" s="4" t="s">
        <v>1348</v>
      </c>
      <c r="L19" s="4" t="s">
        <v>1338</v>
      </c>
      <c r="M19" s="4" t="str">
        <f t="shared" si="1"/>
        <v>No</v>
      </c>
      <c r="N19" s="4" t="str">
        <f t="shared" si="2"/>
        <v>No</v>
      </c>
    </row>
    <row r="20" spans="1:14">
      <c r="A20" s="4" t="s">
        <v>1373</v>
      </c>
      <c r="B20" s="4" t="s">
        <v>223</v>
      </c>
      <c r="C20" s="4" t="s">
        <v>930</v>
      </c>
      <c r="D20" s="4" t="s">
        <v>1374</v>
      </c>
      <c r="E20" s="4" t="s">
        <v>1338</v>
      </c>
      <c r="F20" s="4" t="s">
        <v>1342</v>
      </c>
      <c r="G20" s="4" t="s">
        <v>1331</v>
      </c>
      <c r="H20" s="5">
        <v>46162</v>
      </c>
      <c r="I20" s="5">
        <v>46252</v>
      </c>
      <c r="J20" s="4">
        <f t="shared" ca="1" si="0"/>
        <v>-16</v>
      </c>
      <c r="K20" s="4" t="s">
        <v>1332</v>
      </c>
      <c r="L20" s="4" t="s">
        <v>120</v>
      </c>
      <c r="M20" s="4" t="str">
        <f t="shared" si="1"/>
        <v>No</v>
      </c>
      <c r="N20" s="4" t="str">
        <f t="shared" si="2"/>
        <v>No</v>
      </c>
    </row>
    <row r="21" spans="1:14">
      <c r="A21" s="4" t="s">
        <v>1375</v>
      </c>
      <c r="B21" s="4" t="s">
        <v>227</v>
      </c>
      <c r="C21" s="4" t="s">
        <v>932</v>
      </c>
      <c r="D21" s="4" t="s">
        <v>1376</v>
      </c>
      <c r="E21" s="4" t="s">
        <v>537</v>
      </c>
      <c r="F21" s="4" t="s">
        <v>1345</v>
      </c>
      <c r="G21" s="4" t="s">
        <v>1331</v>
      </c>
      <c r="H21" s="5">
        <v>46163</v>
      </c>
      <c r="I21" s="5">
        <v>46178</v>
      </c>
      <c r="J21" s="4">
        <f t="shared" ca="1" si="0"/>
        <v>-17</v>
      </c>
      <c r="K21" s="4" t="s">
        <v>1332</v>
      </c>
      <c r="L21" s="4" t="s">
        <v>100</v>
      </c>
      <c r="M21" s="4" t="str">
        <f t="shared" si="1"/>
        <v>Yes</v>
      </c>
      <c r="N21" s="4" t="str">
        <f t="shared" si="2"/>
        <v>Yes</v>
      </c>
    </row>
    <row r="22" spans="1:14">
      <c r="A22" s="4" t="s">
        <v>1377</v>
      </c>
      <c r="B22" s="4" t="s">
        <v>231</v>
      </c>
      <c r="C22" s="4" t="s">
        <v>928</v>
      </c>
      <c r="D22" s="4" t="s">
        <v>1378</v>
      </c>
      <c r="E22" s="4" t="s">
        <v>100</v>
      </c>
      <c r="F22" s="4" t="s">
        <v>1330</v>
      </c>
      <c r="G22" s="4" t="s">
        <v>1331</v>
      </c>
      <c r="H22" s="5">
        <v>46164</v>
      </c>
      <c r="I22" s="5">
        <v>46194</v>
      </c>
      <c r="J22" s="4">
        <f t="shared" ca="1" si="0"/>
        <v>-18</v>
      </c>
      <c r="K22" s="4" t="s">
        <v>1332</v>
      </c>
      <c r="L22" s="4" t="s">
        <v>100</v>
      </c>
      <c r="M22" s="4" t="str">
        <f t="shared" si="1"/>
        <v>No</v>
      </c>
      <c r="N22" s="4" t="str">
        <f t="shared" si="2"/>
        <v>Yes</v>
      </c>
    </row>
    <row r="23" spans="1:14">
      <c r="A23" s="4" t="s">
        <v>1379</v>
      </c>
      <c r="B23" s="4" t="s">
        <v>235</v>
      </c>
      <c r="C23" s="4" t="s">
        <v>867</v>
      </c>
      <c r="D23" s="4" t="s">
        <v>1380</v>
      </c>
      <c r="E23" s="4" t="s">
        <v>120</v>
      </c>
      <c r="F23" s="4" t="s">
        <v>1335</v>
      </c>
      <c r="G23" s="4" t="s">
        <v>1331</v>
      </c>
      <c r="H23" s="5">
        <v>46165</v>
      </c>
      <c r="I23" s="5">
        <v>46225</v>
      </c>
      <c r="J23" s="4">
        <f t="shared" ca="1" si="0"/>
        <v>-19</v>
      </c>
      <c r="K23" s="4" t="s">
        <v>1332</v>
      </c>
      <c r="L23" s="4" t="s">
        <v>120</v>
      </c>
      <c r="M23" s="4" t="str">
        <f t="shared" si="1"/>
        <v>No</v>
      </c>
      <c r="N23" s="4" t="str">
        <f t="shared" si="2"/>
        <v>No</v>
      </c>
    </row>
    <row r="24" spans="1:14">
      <c r="A24" s="4" t="s">
        <v>1381</v>
      </c>
      <c r="B24" s="4" t="s">
        <v>239</v>
      </c>
      <c r="C24" s="4" t="s">
        <v>939</v>
      </c>
      <c r="D24" s="4" t="s">
        <v>1382</v>
      </c>
      <c r="E24" s="4" t="s">
        <v>1338</v>
      </c>
      <c r="F24" s="4" t="s">
        <v>1339</v>
      </c>
      <c r="G24" s="4" t="s">
        <v>1331</v>
      </c>
      <c r="H24" s="5">
        <v>46166</v>
      </c>
      <c r="I24" s="5">
        <v>46256</v>
      </c>
      <c r="J24" s="4">
        <f t="shared" ca="1" si="0"/>
        <v>-20</v>
      </c>
      <c r="K24" s="4" t="s">
        <v>1332</v>
      </c>
      <c r="L24" s="4" t="s">
        <v>120</v>
      </c>
      <c r="M24" s="4" t="str">
        <f t="shared" si="1"/>
        <v>No</v>
      </c>
      <c r="N24" s="4" t="str">
        <f t="shared" si="2"/>
        <v>No</v>
      </c>
    </row>
    <row r="25" spans="1:14">
      <c r="A25" s="4" t="s">
        <v>1383</v>
      </c>
      <c r="B25" s="4" t="s">
        <v>243</v>
      </c>
      <c r="C25" s="4" t="s">
        <v>880</v>
      </c>
      <c r="D25" s="4" t="s">
        <v>1384</v>
      </c>
      <c r="E25" s="4" t="s">
        <v>537</v>
      </c>
      <c r="F25" s="4" t="s">
        <v>1342</v>
      </c>
      <c r="G25" s="4" t="s">
        <v>1331</v>
      </c>
      <c r="H25" s="5">
        <v>46167</v>
      </c>
      <c r="I25" s="5">
        <v>46182</v>
      </c>
      <c r="J25" s="4">
        <f t="shared" ca="1" si="0"/>
        <v>-21</v>
      </c>
      <c r="K25" s="4" t="s">
        <v>1348</v>
      </c>
      <c r="L25" s="4" t="s">
        <v>1338</v>
      </c>
      <c r="M25" s="4" t="str">
        <f t="shared" si="1"/>
        <v>Yes</v>
      </c>
      <c r="N25" s="4" t="str">
        <f t="shared" si="2"/>
        <v>Yes</v>
      </c>
    </row>
    <row r="26" spans="1:14">
      <c r="A26" s="4" t="s">
        <v>1385</v>
      </c>
      <c r="B26" s="4" t="s">
        <v>247</v>
      </c>
      <c r="C26" s="4" t="s">
        <v>880</v>
      </c>
      <c r="D26" s="4" t="s">
        <v>1386</v>
      </c>
      <c r="E26" s="4" t="s">
        <v>100</v>
      </c>
      <c r="F26" s="4" t="s">
        <v>1345</v>
      </c>
      <c r="G26" s="4" t="s">
        <v>1331</v>
      </c>
      <c r="H26" s="5">
        <v>46168</v>
      </c>
      <c r="I26" s="5">
        <v>46198</v>
      </c>
      <c r="J26" s="4">
        <f t="shared" ca="1" si="0"/>
        <v>-22</v>
      </c>
      <c r="K26" s="4" t="s">
        <v>1332</v>
      </c>
      <c r="L26" s="4" t="s">
        <v>100</v>
      </c>
      <c r="M26" s="4" t="str">
        <f t="shared" si="1"/>
        <v>No</v>
      </c>
      <c r="N26" s="4" t="str">
        <f t="shared" si="2"/>
        <v>Yes</v>
      </c>
    </row>
    <row r="27" spans="1:14">
      <c r="A27" s="4" t="s">
        <v>1387</v>
      </c>
      <c r="B27" s="4" t="s">
        <v>254</v>
      </c>
      <c r="C27" s="4" t="s">
        <v>888</v>
      </c>
      <c r="D27" s="4" t="s">
        <v>1388</v>
      </c>
      <c r="E27" s="4" t="s">
        <v>120</v>
      </c>
      <c r="F27" s="4" t="s">
        <v>1330</v>
      </c>
      <c r="G27" s="4" t="s">
        <v>1331</v>
      </c>
      <c r="H27" s="5">
        <v>46169</v>
      </c>
      <c r="I27" s="5">
        <v>46229</v>
      </c>
      <c r="J27" s="4">
        <f t="shared" ca="1" si="0"/>
        <v>-23</v>
      </c>
      <c r="K27" s="4" t="s">
        <v>1332</v>
      </c>
      <c r="L27" s="4" t="s">
        <v>120</v>
      </c>
      <c r="M27" s="4" t="str">
        <f t="shared" si="1"/>
        <v>No</v>
      </c>
      <c r="N27" s="4" t="str">
        <f t="shared" si="2"/>
        <v>No</v>
      </c>
    </row>
    <row r="28" spans="1:14">
      <c r="A28" s="4" t="s">
        <v>1389</v>
      </c>
      <c r="B28" s="4" t="s">
        <v>260</v>
      </c>
      <c r="C28" s="4" t="s">
        <v>932</v>
      </c>
      <c r="D28" s="4" t="s">
        <v>1390</v>
      </c>
      <c r="E28" s="4" t="s">
        <v>1338</v>
      </c>
      <c r="F28" s="4" t="s">
        <v>1335</v>
      </c>
      <c r="G28" s="4" t="s">
        <v>1331</v>
      </c>
      <c r="H28" s="5">
        <v>46170</v>
      </c>
      <c r="I28" s="5">
        <v>46260</v>
      </c>
      <c r="J28" s="4">
        <f t="shared" ca="1" si="0"/>
        <v>-24</v>
      </c>
      <c r="K28" s="4" t="s">
        <v>1332</v>
      </c>
      <c r="L28" s="4" t="s">
        <v>120</v>
      </c>
      <c r="M28" s="4" t="str">
        <f t="shared" si="1"/>
        <v>No</v>
      </c>
      <c r="N28" s="4" t="str">
        <f t="shared" si="2"/>
        <v>No</v>
      </c>
    </row>
    <row r="29" spans="1:14">
      <c r="A29" s="4" t="s">
        <v>1391</v>
      </c>
      <c r="B29" s="4" t="s">
        <v>266</v>
      </c>
      <c r="C29" s="4" t="s">
        <v>926</v>
      </c>
      <c r="D29" s="4" t="s">
        <v>1392</v>
      </c>
      <c r="E29" s="4" t="s">
        <v>537</v>
      </c>
      <c r="F29" s="4" t="s">
        <v>1339</v>
      </c>
      <c r="G29" s="4" t="s">
        <v>1331</v>
      </c>
      <c r="H29" s="5">
        <v>46171</v>
      </c>
      <c r="I29" s="5">
        <v>46186</v>
      </c>
      <c r="J29" s="4">
        <f t="shared" ca="1" si="0"/>
        <v>-25</v>
      </c>
      <c r="K29" s="4" t="s">
        <v>1332</v>
      </c>
      <c r="L29" s="4" t="s">
        <v>100</v>
      </c>
      <c r="M29" s="4" t="str">
        <f t="shared" si="1"/>
        <v>Yes</v>
      </c>
      <c r="N29" s="4" t="str">
        <f t="shared" si="2"/>
        <v>Yes</v>
      </c>
    </row>
    <row r="30" spans="1:14">
      <c r="A30" s="4" t="s">
        <v>1393</v>
      </c>
      <c r="B30" s="4" t="s">
        <v>272</v>
      </c>
      <c r="C30" s="4" t="s">
        <v>921</v>
      </c>
      <c r="D30" s="4" t="s">
        <v>1394</v>
      </c>
      <c r="E30" s="4" t="s">
        <v>100</v>
      </c>
      <c r="F30" s="4" t="s">
        <v>1342</v>
      </c>
      <c r="G30" s="4" t="s">
        <v>1331</v>
      </c>
      <c r="H30" s="5">
        <v>46172</v>
      </c>
      <c r="I30" s="5">
        <v>46202</v>
      </c>
      <c r="J30" s="4">
        <f t="shared" ca="1" si="0"/>
        <v>-26</v>
      </c>
      <c r="K30" s="4" t="s">
        <v>1332</v>
      </c>
      <c r="L30" s="4" t="s">
        <v>100</v>
      </c>
      <c r="M30" s="4" t="str">
        <f t="shared" si="1"/>
        <v>No</v>
      </c>
      <c r="N30" s="4" t="str">
        <f t="shared" si="2"/>
        <v>Yes</v>
      </c>
    </row>
    <row r="31" spans="1:14">
      <c r="A31" s="4" t="s">
        <v>1395</v>
      </c>
      <c r="B31" s="4" t="s">
        <v>277</v>
      </c>
      <c r="C31" s="4" t="s">
        <v>854</v>
      </c>
      <c r="D31" s="4" t="s">
        <v>1396</v>
      </c>
      <c r="E31" s="4" t="s">
        <v>120</v>
      </c>
      <c r="F31" s="4" t="s">
        <v>1345</v>
      </c>
      <c r="G31" s="4" t="s">
        <v>1331</v>
      </c>
      <c r="H31" s="5">
        <v>46143</v>
      </c>
      <c r="I31" s="5">
        <v>46203</v>
      </c>
      <c r="J31" s="4">
        <f t="shared" ca="1" si="0"/>
        <v>3</v>
      </c>
      <c r="K31" s="4" t="s">
        <v>1348</v>
      </c>
      <c r="L31" s="4" t="s">
        <v>1338</v>
      </c>
      <c r="M31" s="4" t="str">
        <f t="shared" si="1"/>
        <v>No</v>
      </c>
      <c r="N31" s="4" t="str">
        <f t="shared" si="2"/>
        <v>No</v>
      </c>
    </row>
    <row r="32" spans="1:14">
      <c r="A32" s="4" t="s">
        <v>1397</v>
      </c>
      <c r="B32" s="4" t="s">
        <v>281</v>
      </c>
      <c r="C32" s="4" t="s">
        <v>880</v>
      </c>
      <c r="D32" s="4" t="s">
        <v>1398</v>
      </c>
      <c r="E32" s="4" t="s">
        <v>1338</v>
      </c>
      <c r="F32" s="4" t="s">
        <v>1330</v>
      </c>
      <c r="G32" s="4" t="s">
        <v>1331</v>
      </c>
      <c r="H32" s="5">
        <v>46144</v>
      </c>
      <c r="I32" s="5">
        <v>46234</v>
      </c>
      <c r="J32" s="4">
        <f t="shared" ca="1" si="0"/>
        <v>2</v>
      </c>
      <c r="K32" s="4" t="s">
        <v>1332</v>
      </c>
      <c r="L32" s="4" t="s">
        <v>120</v>
      </c>
      <c r="M32" s="4" t="str">
        <f t="shared" si="1"/>
        <v>No</v>
      </c>
      <c r="N32" s="4" t="str">
        <f t="shared" si="2"/>
        <v>No</v>
      </c>
    </row>
    <row r="33" spans="1:14">
      <c r="A33" s="4" t="s">
        <v>1399</v>
      </c>
      <c r="B33" s="4" t="s">
        <v>284</v>
      </c>
      <c r="C33" s="4" t="s">
        <v>888</v>
      </c>
      <c r="D33" s="4" t="s">
        <v>1400</v>
      </c>
      <c r="E33" s="4" t="s">
        <v>537</v>
      </c>
      <c r="F33" s="4" t="s">
        <v>1335</v>
      </c>
      <c r="G33" s="4" t="s">
        <v>1331</v>
      </c>
      <c r="H33" s="5">
        <v>46145</v>
      </c>
      <c r="I33" s="5">
        <v>46160</v>
      </c>
      <c r="J33" s="4">
        <f t="shared" ca="1" si="0"/>
        <v>1</v>
      </c>
      <c r="K33" s="4" t="s">
        <v>1332</v>
      </c>
      <c r="L33" s="4" t="s">
        <v>100</v>
      </c>
      <c r="M33" s="4" t="str">
        <f t="shared" si="1"/>
        <v>Yes</v>
      </c>
      <c r="N33" s="4" t="str">
        <f t="shared" si="2"/>
        <v>Yes</v>
      </c>
    </row>
    <row r="34" spans="1:14">
      <c r="A34" s="4" t="s">
        <v>1401</v>
      </c>
      <c r="B34" s="4" t="s">
        <v>287</v>
      </c>
      <c r="C34" s="4" t="s">
        <v>932</v>
      </c>
      <c r="D34" s="4" t="s">
        <v>1402</v>
      </c>
      <c r="E34" s="4" t="s">
        <v>100</v>
      </c>
      <c r="F34" s="4" t="s">
        <v>1339</v>
      </c>
      <c r="G34" s="4" t="s">
        <v>1331</v>
      </c>
      <c r="H34" s="5">
        <v>46146</v>
      </c>
      <c r="I34" s="5">
        <v>46176</v>
      </c>
      <c r="J34" s="4">
        <f t="shared" ref="J34:J65" ca="1" si="3">IF(K34="Closed",0,TODAY()-H34)</f>
        <v>0</v>
      </c>
      <c r="K34" s="4" t="s">
        <v>1332</v>
      </c>
      <c r="L34" s="4" t="s">
        <v>100</v>
      </c>
      <c r="M34" s="4" t="str">
        <f t="shared" ref="M34:M65" si="4">IF(AND(E34="Critical",K34&lt;&gt;"Closed"),"Yes","No")</f>
        <v>No</v>
      </c>
      <c r="N34" s="4" t="str">
        <f t="shared" ref="N34:N65" si="5">IF(AND(OR(E34="Critical",E34="High"),K34&lt;&gt;"Closed"),"Yes","No")</f>
        <v>Yes</v>
      </c>
    </row>
    <row r="35" spans="1:14">
      <c r="A35" s="4" t="s">
        <v>1403</v>
      </c>
      <c r="B35" s="4" t="s">
        <v>290</v>
      </c>
      <c r="C35" s="4" t="s">
        <v>926</v>
      </c>
      <c r="D35" s="4" t="s">
        <v>1404</v>
      </c>
      <c r="E35" s="4" t="s">
        <v>120</v>
      </c>
      <c r="F35" s="4" t="s">
        <v>1342</v>
      </c>
      <c r="G35" s="4" t="s">
        <v>1331</v>
      </c>
      <c r="H35" s="5">
        <v>46147</v>
      </c>
      <c r="I35" s="5">
        <v>46207</v>
      </c>
      <c r="J35" s="4">
        <f t="shared" ca="1" si="3"/>
        <v>-1</v>
      </c>
      <c r="K35" s="4" t="s">
        <v>1332</v>
      </c>
      <c r="L35" s="4" t="s">
        <v>120</v>
      </c>
      <c r="M35" s="4" t="str">
        <f t="shared" si="4"/>
        <v>No</v>
      </c>
      <c r="N35" s="4" t="str">
        <f t="shared" si="5"/>
        <v>No</v>
      </c>
    </row>
    <row r="36" spans="1:14">
      <c r="A36" s="4" t="s">
        <v>1405</v>
      </c>
      <c r="B36" s="4" t="s">
        <v>293</v>
      </c>
      <c r="C36" s="4" t="s">
        <v>921</v>
      </c>
      <c r="D36" s="4" t="s">
        <v>1406</v>
      </c>
      <c r="E36" s="4" t="s">
        <v>1338</v>
      </c>
      <c r="F36" s="4" t="s">
        <v>1345</v>
      </c>
      <c r="G36" s="4" t="s">
        <v>1331</v>
      </c>
      <c r="H36" s="5">
        <v>46148</v>
      </c>
      <c r="I36" s="5">
        <v>46238</v>
      </c>
      <c r="J36" s="4">
        <f t="shared" ca="1" si="3"/>
        <v>-2</v>
      </c>
      <c r="K36" s="4" t="s">
        <v>1332</v>
      </c>
      <c r="L36" s="4" t="s">
        <v>120</v>
      </c>
      <c r="M36" s="4" t="str">
        <f t="shared" si="4"/>
        <v>No</v>
      </c>
      <c r="N36" s="4" t="str">
        <f t="shared" si="5"/>
        <v>No</v>
      </c>
    </row>
    <row r="37" spans="1:14">
      <c r="A37" s="4" t="s">
        <v>1407</v>
      </c>
      <c r="B37" s="4" t="s">
        <v>296</v>
      </c>
      <c r="C37" s="4" t="s">
        <v>854</v>
      </c>
      <c r="D37" s="4" t="s">
        <v>1408</v>
      </c>
      <c r="E37" s="4" t="s">
        <v>537</v>
      </c>
      <c r="F37" s="4" t="s">
        <v>1330</v>
      </c>
      <c r="G37" s="4" t="s">
        <v>1331</v>
      </c>
      <c r="H37" s="5">
        <v>46149</v>
      </c>
      <c r="I37" s="5">
        <v>46164</v>
      </c>
      <c r="J37" s="4">
        <f t="shared" ca="1" si="3"/>
        <v>-3</v>
      </c>
      <c r="K37" s="4" t="s">
        <v>1348</v>
      </c>
      <c r="L37" s="4" t="s">
        <v>1338</v>
      </c>
      <c r="M37" s="4" t="str">
        <f t="shared" si="4"/>
        <v>Yes</v>
      </c>
      <c r="N37" s="4" t="str">
        <f t="shared" si="5"/>
        <v>Yes</v>
      </c>
    </row>
    <row r="38" spans="1:14">
      <c r="A38" s="4" t="s">
        <v>1409</v>
      </c>
      <c r="B38" s="4" t="s">
        <v>299</v>
      </c>
      <c r="C38" s="4" t="s">
        <v>880</v>
      </c>
      <c r="D38" s="4" t="s">
        <v>1410</v>
      </c>
      <c r="E38" s="4" t="s">
        <v>100</v>
      </c>
      <c r="F38" s="4" t="s">
        <v>1335</v>
      </c>
      <c r="G38" s="4" t="s">
        <v>1331</v>
      </c>
      <c r="H38" s="5">
        <v>46150</v>
      </c>
      <c r="I38" s="5">
        <v>46180</v>
      </c>
      <c r="J38" s="4">
        <f t="shared" ca="1" si="3"/>
        <v>-4</v>
      </c>
      <c r="K38" s="4" t="s">
        <v>1332</v>
      </c>
      <c r="L38" s="4" t="s">
        <v>100</v>
      </c>
      <c r="M38" s="4" t="str">
        <f t="shared" si="4"/>
        <v>No</v>
      </c>
      <c r="N38" s="4" t="str">
        <f t="shared" si="5"/>
        <v>Yes</v>
      </c>
    </row>
    <row r="39" spans="1:14">
      <c r="A39" s="4" t="s">
        <v>1411</v>
      </c>
      <c r="B39" s="4" t="s">
        <v>302</v>
      </c>
      <c r="C39" s="4" t="s">
        <v>888</v>
      </c>
      <c r="D39" s="4" t="s">
        <v>1412</v>
      </c>
      <c r="E39" s="4" t="s">
        <v>120</v>
      </c>
      <c r="F39" s="4" t="s">
        <v>1339</v>
      </c>
      <c r="G39" s="4" t="s">
        <v>1331</v>
      </c>
      <c r="H39" s="5">
        <v>46151</v>
      </c>
      <c r="I39" s="5">
        <v>46211</v>
      </c>
      <c r="J39" s="4">
        <f t="shared" ca="1" si="3"/>
        <v>-5</v>
      </c>
      <c r="K39" s="4" t="s">
        <v>1332</v>
      </c>
      <c r="L39" s="4" t="s">
        <v>120</v>
      </c>
      <c r="M39" s="4" t="str">
        <f t="shared" si="4"/>
        <v>No</v>
      </c>
      <c r="N39" s="4" t="str">
        <f t="shared" si="5"/>
        <v>No</v>
      </c>
    </row>
    <row r="40" spans="1:14">
      <c r="A40" s="4" t="s">
        <v>1413</v>
      </c>
      <c r="B40" s="4" t="s">
        <v>305</v>
      </c>
      <c r="C40" s="4" t="s">
        <v>932</v>
      </c>
      <c r="D40" s="4" t="s">
        <v>1414</v>
      </c>
      <c r="E40" s="4" t="s">
        <v>1338</v>
      </c>
      <c r="F40" s="4" t="s">
        <v>1342</v>
      </c>
      <c r="G40" s="4" t="s">
        <v>1331</v>
      </c>
      <c r="H40" s="5">
        <v>46152</v>
      </c>
      <c r="I40" s="5">
        <v>46242</v>
      </c>
      <c r="J40" s="4">
        <f t="shared" ca="1" si="3"/>
        <v>-6</v>
      </c>
      <c r="K40" s="4" t="s">
        <v>1332</v>
      </c>
      <c r="L40" s="4" t="s">
        <v>120</v>
      </c>
      <c r="M40" s="4" t="str">
        <f t="shared" si="4"/>
        <v>No</v>
      </c>
      <c r="N40" s="4" t="str">
        <f t="shared" si="5"/>
        <v>No</v>
      </c>
    </row>
    <row r="41" spans="1:14">
      <c r="A41" s="4" t="s">
        <v>1415</v>
      </c>
      <c r="B41" s="4" t="s">
        <v>308</v>
      </c>
      <c r="C41" s="4" t="s">
        <v>926</v>
      </c>
      <c r="D41" s="4" t="s">
        <v>1416</v>
      </c>
      <c r="E41" s="4" t="s">
        <v>537</v>
      </c>
      <c r="F41" s="4" t="s">
        <v>1345</v>
      </c>
      <c r="G41" s="4" t="s">
        <v>1331</v>
      </c>
      <c r="H41" s="5">
        <v>46153</v>
      </c>
      <c r="I41" s="5">
        <v>46168</v>
      </c>
      <c r="J41" s="4">
        <f t="shared" ca="1" si="3"/>
        <v>-7</v>
      </c>
      <c r="K41" s="4" t="s">
        <v>1332</v>
      </c>
      <c r="L41" s="4" t="s">
        <v>100</v>
      </c>
      <c r="M41" s="4" t="str">
        <f t="shared" si="4"/>
        <v>Yes</v>
      </c>
      <c r="N41" s="4" t="str">
        <f t="shared" si="5"/>
        <v>Yes</v>
      </c>
    </row>
    <row r="42" spans="1:14">
      <c r="A42" s="4" t="s">
        <v>1417</v>
      </c>
      <c r="B42" s="4" t="s">
        <v>311</v>
      </c>
      <c r="C42" s="4" t="s">
        <v>921</v>
      </c>
      <c r="D42" s="4" t="s">
        <v>1418</v>
      </c>
      <c r="E42" s="4" t="s">
        <v>100</v>
      </c>
      <c r="F42" s="4" t="s">
        <v>1330</v>
      </c>
      <c r="G42" s="4" t="s">
        <v>1331</v>
      </c>
      <c r="H42" s="5">
        <v>46154</v>
      </c>
      <c r="I42" s="5">
        <v>46184</v>
      </c>
      <c r="J42" s="4">
        <f t="shared" ca="1" si="3"/>
        <v>-8</v>
      </c>
      <c r="K42" s="4" t="s">
        <v>1332</v>
      </c>
      <c r="L42" s="4" t="s">
        <v>100</v>
      </c>
      <c r="M42" s="4" t="str">
        <f t="shared" si="4"/>
        <v>No</v>
      </c>
      <c r="N42" s="4" t="str">
        <f t="shared" si="5"/>
        <v>Yes</v>
      </c>
    </row>
    <row r="43" spans="1:14">
      <c r="A43" s="4" t="s">
        <v>1419</v>
      </c>
      <c r="B43" s="4" t="s">
        <v>314</v>
      </c>
      <c r="C43" s="4" t="s">
        <v>854</v>
      </c>
      <c r="D43" s="4" t="s">
        <v>1420</v>
      </c>
      <c r="E43" s="4" t="s">
        <v>120</v>
      </c>
      <c r="F43" s="4" t="s">
        <v>1335</v>
      </c>
      <c r="G43" s="4" t="s">
        <v>1331</v>
      </c>
      <c r="H43" s="5">
        <v>46155</v>
      </c>
      <c r="I43" s="5">
        <v>46215</v>
      </c>
      <c r="J43" s="4">
        <f t="shared" ca="1" si="3"/>
        <v>-9</v>
      </c>
      <c r="K43" s="4" t="s">
        <v>1348</v>
      </c>
      <c r="L43" s="4" t="s">
        <v>1338</v>
      </c>
      <c r="M43" s="4" t="str">
        <f t="shared" si="4"/>
        <v>No</v>
      </c>
      <c r="N43" s="4" t="str">
        <f t="shared" si="5"/>
        <v>No</v>
      </c>
    </row>
    <row r="44" spans="1:14">
      <c r="A44" s="4" t="s">
        <v>1421</v>
      </c>
      <c r="B44" s="4" t="s">
        <v>317</v>
      </c>
      <c r="C44" s="4" t="s">
        <v>880</v>
      </c>
      <c r="D44" s="4" t="s">
        <v>1422</v>
      </c>
      <c r="E44" s="4" t="s">
        <v>1338</v>
      </c>
      <c r="F44" s="4" t="s">
        <v>1339</v>
      </c>
      <c r="G44" s="4" t="s">
        <v>1331</v>
      </c>
      <c r="H44" s="5">
        <v>46156</v>
      </c>
      <c r="I44" s="5">
        <v>46246</v>
      </c>
      <c r="J44" s="4">
        <f t="shared" ca="1" si="3"/>
        <v>-10</v>
      </c>
      <c r="K44" s="4" t="s">
        <v>1332</v>
      </c>
      <c r="L44" s="4" t="s">
        <v>120</v>
      </c>
      <c r="M44" s="4" t="str">
        <f t="shared" si="4"/>
        <v>No</v>
      </c>
      <c r="N44" s="4" t="str">
        <f t="shared" si="5"/>
        <v>No</v>
      </c>
    </row>
    <row r="45" spans="1:14">
      <c r="A45" s="4" t="s">
        <v>1423</v>
      </c>
      <c r="B45" s="4" t="s">
        <v>320</v>
      </c>
      <c r="C45" s="4" t="s">
        <v>888</v>
      </c>
      <c r="D45" s="4" t="s">
        <v>1424</v>
      </c>
      <c r="E45" s="4" t="s">
        <v>537</v>
      </c>
      <c r="F45" s="4" t="s">
        <v>1342</v>
      </c>
      <c r="G45" s="4" t="s">
        <v>1331</v>
      </c>
      <c r="H45" s="5">
        <v>46157</v>
      </c>
      <c r="I45" s="5">
        <v>46172</v>
      </c>
      <c r="J45" s="4">
        <f t="shared" ca="1" si="3"/>
        <v>-11</v>
      </c>
      <c r="K45" s="4" t="s">
        <v>1332</v>
      </c>
      <c r="L45" s="4" t="s">
        <v>100</v>
      </c>
      <c r="M45" s="4" t="str">
        <f t="shared" si="4"/>
        <v>Yes</v>
      </c>
      <c r="N45" s="4" t="str">
        <f t="shared" si="5"/>
        <v>Yes</v>
      </c>
    </row>
    <row r="46" spans="1:14">
      <c r="A46" s="4" t="s">
        <v>1425</v>
      </c>
      <c r="B46" s="4" t="s">
        <v>323</v>
      </c>
      <c r="C46" s="4" t="s">
        <v>932</v>
      </c>
      <c r="D46" s="4" t="s">
        <v>1426</v>
      </c>
      <c r="E46" s="4" t="s">
        <v>100</v>
      </c>
      <c r="F46" s="4" t="s">
        <v>1345</v>
      </c>
      <c r="G46" s="4" t="s">
        <v>1331</v>
      </c>
      <c r="H46" s="5">
        <v>46158</v>
      </c>
      <c r="I46" s="5">
        <v>46188</v>
      </c>
      <c r="J46" s="4">
        <f t="shared" ca="1" si="3"/>
        <v>-12</v>
      </c>
      <c r="K46" s="4" t="s">
        <v>1332</v>
      </c>
      <c r="L46" s="4" t="s">
        <v>100</v>
      </c>
      <c r="M46" s="4" t="str">
        <f t="shared" si="4"/>
        <v>No</v>
      </c>
      <c r="N46" s="4" t="str">
        <f t="shared" si="5"/>
        <v>Yes</v>
      </c>
    </row>
    <row r="47" spans="1:14">
      <c r="A47" s="4" t="s">
        <v>1427</v>
      </c>
      <c r="B47" s="4" t="s">
        <v>326</v>
      </c>
      <c r="C47" s="4" t="s">
        <v>926</v>
      </c>
      <c r="D47" s="4" t="s">
        <v>1428</v>
      </c>
      <c r="E47" s="4" t="s">
        <v>120</v>
      </c>
      <c r="F47" s="4" t="s">
        <v>1330</v>
      </c>
      <c r="G47" s="4" t="s">
        <v>1331</v>
      </c>
      <c r="H47" s="5">
        <v>46159</v>
      </c>
      <c r="I47" s="5">
        <v>46219</v>
      </c>
      <c r="J47" s="4">
        <f t="shared" ca="1" si="3"/>
        <v>-13</v>
      </c>
      <c r="K47" s="4" t="s">
        <v>1332</v>
      </c>
      <c r="L47" s="4" t="s">
        <v>120</v>
      </c>
      <c r="M47" s="4" t="str">
        <f t="shared" si="4"/>
        <v>No</v>
      </c>
      <c r="N47" s="4" t="str">
        <f t="shared" si="5"/>
        <v>No</v>
      </c>
    </row>
    <row r="48" spans="1:14">
      <c r="A48" s="4" t="s">
        <v>1429</v>
      </c>
      <c r="B48" s="4" t="s">
        <v>329</v>
      </c>
      <c r="C48" s="4" t="s">
        <v>854</v>
      </c>
      <c r="D48" s="4" t="s">
        <v>1430</v>
      </c>
      <c r="E48" s="4" t="s">
        <v>1338</v>
      </c>
      <c r="F48" s="4" t="s">
        <v>1335</v>
      </c>
      <c r="G48" s="4" t="s">
        <v>1331</v>
      </c>
      <c r="H48" s="5">
        <v>46160</v>
      </c>
      <c r="I48" s="5">
        <v>46250</v>
      </c>
      <c r="J48" s="4">
        <f t="shared" ca="1" si="3"/>
        <v>-14</v>
      </c>
      <c r="K48" s="4" t="s">
        <v>1332</v>
      </c>
      <c r="L48" s="4" t="s">
        <v>120</v>
      </c>
      <c r="M48" s="4" t="str">
        <f t="shared" si="4"/>
        <v>No</v>
      </c>
      <c r="N48" s="4" t="str">
        <f t="shared" si="5"/>
        <v>No</v>
      </c>
    </row>
    <row r="49" spans="1:14">
      <c r="A49" s="4" t="s">
        <v>1431</v>
      </c>
      <c r="B49" s="4" t="s">
        <v>336</v>
      </c>
      <c r="C49" s="4" t="s">
        <v>899</v>
      </c>
      <c r="D49" s="4" t="s">
        <v>1432</v>
      </c>
      <c r="E49" s="4" t="s">
        <v>537</v>
      </c>
      <c r="F49" s="4" t="s">
        <v>1339</v>
      </c>
      <c r="G49" s="4" t="s">
        <v>1331</v>
      </c>
      <c r="H49" s="5">
        <v>46161</v>
      </c>
      <c r="I49" s="5">
        <v>46176</v>
      </c>
      <c r="J49" s="4">
        <f t="shared" ca="1" si="3"/>
        <v>-15</v>
      </c>
      <c r="K49" s="4" t="s">
        <v>1348</v>
      </c>
      <c r="L49" s="4" t="s">
        <v>1338</v>
      </c>
      <c r="M49" s="4" t="str">
        <f t="shared" si="4"/>
        <v>Yes</v>
      </c>
      <c r="N49" s="4" t="str">
        <f t="shared" si="5"/>
        <v>Yes</v>
      </c>
    </row>
    <row r="50" spans="1:14">
      <c r="A50" s="4" t="s">
        <v>1433</v>
      </c>
      <c r="B50" s="4" t="s">
        <v>342</v>
      </c>
      <c r="C50" s="4" t="s">
        <v>926</v>
      </c>
      <c r="D50" s="4" t="s">
        <v>1434</v>
      </c>
      <c r="E50" s="4" t="s">
        <v>100</v>
      </c>
      <c r="F50" s="4" t="s">
        <v>1342</v>
      </c>
      <c r="G50" s="4" t="s">
        <v>1331</v>
      </c>
      <c r="H50" s="5">
        <v>46162</v>
      </c>
      <c r="I50" s="5">
        <v>46192</v>
      </c>
      <c r="J50" s="4">
        <f t="shared" ca="1" si="3"/>
        <v>-16</v>
      </c>
      <c r="K50" s="4" t="s">
        <v>1332</v>
      </c>
      <c r="L50" s="4" t="s">
        <v>100</v>
      </c>
      <c r="M50" s="4" t="str">
        <f t="shared" si="4"/>
        <v>No</v>
      </c>
      <c r="N50" s="4" t="str">
        <f t="shared" si="5"/>
        <v>Yes</v>
      </c>
    </row>
    <row r="51" spans="1:14">
      <c r="A51" s="4" t="s">
        <v>1435</v>
      </c>
      <c r="B51" s="4" t="s">
        <v>348</v>
      </c>
      <c r="C51" s="4" t="s">
        <v>934</v>
      </c>
      <c r="D51" s="4" t="s">
        <v>1436</v>
      </c>
      <c r="E51" s="4" t="s">
        <v>120</v>
      </c>
      <c r="F51" s="4" t="s">
        <v>1345</v>
      </c>
      <c r="G51" s="4" t="s">
        <v>1331</v>
      </c>
      <c r="H51" s="5">
        <v>46163</v>
      </c>
      <c r="I51" s="5">
        <v>46223</v>
      </c>
      <c r="J51" s="4">
        <f t="shared" ca="1" si="3"/>
        <v>-17</v>
      </c>
      <c r="K51" s="4" t="s">
        <v>1332</v>
      </c>
      <c r="L51" s="4" t="s">
        <v>120</v>
      </c>
      <c r="M51" s="4" t="str">
        <f t="shared" si="4"/>
        <v>No</v>
      </c>
      <c r="N51" s="4" t="str">
        <f t="shared" si="5"/>
        <v>No</v>
      </c>
    </row>
    <row r="52" spans="1:14">
      <c r="A52" s="4" t="s">
        <v>1437</v>
      </c>
      <c r="B52" s="4" t="s">
        <v>354</v>
      </c>
      <c r="C52" s="4" t="s">
        <v>864</v>
      </c>
      <c r="D52" s="4" t="s">
        <v>1438</v>
      </c>
      <c r="E52" s="4" t="s">
        <v>1338</v>
      </c>
      <c r="F52" s="4" t="s">
        <v>1330</v>
      </c>
      <c r="G52" s="4" t="s">
        <v>1331</v>
      </c>
      <c r="H52" s="5">
        <v>46164</v>
      </c>
      <c r="I52" s="5">
        <v>46254</v>
      </c>
      <c r="J52" s="4">
        <f t="shared" ca="1" si="3"/>
        <v>-18</v>
      </c>
      <c r="K52" s="4" t="s">
        <v>1332</v>
      </c>
      <c r="L52" s="4" t="s">
        <v>120</v>
      </c>
      <c r="M52" s="4" t="str">
        <f t="shared" si="4"/>
        <v>No</v>
      </c>
      <c r="N52" s="4" t="str">
        <f t="shared" si="5"/>
        <v>No</v>
      </c>
    </row>
    <row r="53" spans="1:14">
      <c r="A53" s="4" t="s">
        <v>1439</v>
      </c>
      <c r="B53" s="4" t="s">
        <v>360</v>
      </c>
      <c r="C53" s="4" t="s">
        <v>912</v>
      </c>
      <c r="D53" s="4" t="s">
        <v>1440</v>
      </c>
      <c r="E53" s="4" t="s">
        <v>537</v>
      </c>
      <c r="F53" s="4" t="s">
        <v>1335</v>
      </c>
      <c r="G53" s="4" t="s">
        <v>1331</v>
      </c>
      <c r="H53" s="5">
        <v>46165</v>
      </c>
      <c r="I53" s="5">
        <v>46180</v>
      </c>
      <c r="J53" s="4">
        <f t="shared" ca="1" si="3"/>
        <v>-19</v>
      </c>
      <c r="K53" s="4" t="s">
        <v>1332</v>
      </c>
      <c r="L53" s="4" t="s">
        <v>100</v>
      </c>
      <c r="M53" s="4" t="str">
        <f t="shared" si="4"/>
        <v>Yes</v>
      </c>
      <c r="N53" s="4" t="str">
        <f t="shared" si="5"/>
        <v>Yes</v>
      </c>
    </row>
    <row r="54" spans="1:14">
      <c r="A54" s="4" t="s">
        <v>1441</v>
      </c>
      <c r="B54" s="4" t="s">
        <v>366</v>
      </c>
      <c r="C54" s="4" t="s">
        <v>854</v>
      </c>
      <c r="D54" s="4" t="s">
        <v>1442</v>
      </c>
      <c r="E54" s="4" t="s">
        <v>100</v>
      </c>
      <c r="F54" s="4" t="s">
        <v>1339</v>
      </c>
      <c r="G54" s="4" t="s">
        <v>1331</v>
      </c>
      <c r="H54" s="5">
        <v>46166</v>
      </c>
      <c r="I54" s="5">
        <v>46196</v>
      </c>
      <c r="J54" s="4">
        <f t="shared" ca="1" si="3"/>
        <v>-20</v>
      </c>
      <c r="K54" s="4" t="s">
        <v>1332</v>
      </c>
      <c r="L54" s="4" t="s">
        <v>100</v>
      </c>
      <c r="M54" s="4" t="str">
        <f t="shared" si="4"/>
        <v>No</v>
      </c>
      <c r="N54" s="4" t="str">
        <f t="shared" si="5"/>
        <v>Yes</v>
      </c>
    </row>
    <row r="55" spans="1:14">
      <c r="A55" s="4" t="s">
        <v>1443</v>
      </c>
      <c r="B55" s="4" t="s">
        <v>370</v>
      </c>
      <c r="C55" s="4" t="s">
        <v>899</v>
      </c>
      <c r="D55" s="4" t="s">
        <v>1444</v>
      </c>
      <c r="E55" s="4" t="s">
        <v>120</v>
      </c>
      <c r="F55" s="4" t="s">
        <v>1342</v>
      </c>
      <c r="G55" s="4" t="s">
        <v>1331</v>
      </c>
      <c r="H55" s="5">
        <v>46167</v>
      </c>
      <c r="I55" s="5">
        <v>46227</v>
      </c>
      <c r="J55" s="4">
        <f t="shared" ca="1" si="3"/>
        <v>-21</v>
      </c>
      <c r="K55" s="4" t="s">
        <v>1348</v>
      </c>
      <c r="L55" s="4" t="s">
        <v>1338</v>
      </c>
      <c r="M55" s="4" t="str">
        <f t="shared" si="4"/>
        <v>No</v>
      </c>
      <c r="N55" s="4" t="str">
        <f t="shared" si="5"/>
        <v>No</v>
      </c>
    </row>
    <row r="56" spans="1:14">
      <c r="A56" s="4" t="s">
        <v>1445</v>
      </c>
      <c r="B56" s="4" t="s">
        <v>374</v>
      </c>
      <c r="C56" s="4" t="s">
        <v>926</v>
      </c>
      <c r="D56" s="4" t="s">
        <v>1446</v>
      </c>
      <c r="E56" s="4" t="s">
        <v>1338</v>
      </c>
      <c r="F56" s="4" t="s">
        <v>1345</v>
      </c>
      <c r="G56" s="4" t="s">
        <v>1331</v>
      </c>
      <c r="H56" s="5">
        <v>46168</v>
      </c>
      <c r="I56" s="5">
        <v>46258</v>
      </c>
      <c r="J56" s="4">
        <f t="shared" ca="1" si="3"/>
        <v>-22</v>
      </c>
      <c r="K56" s="4" t="s">
        <v>1332</v>
      </c>
      <c r="L56" s="4" t="s">
        <v>120</v>
      </c>
      <c r="M56" s="4" t="str">
        <f t="shared" si="4"/>
        <v>No</v>
      </c>
      <c r="N56" s="4" t="str">
        <f t="shared" si="5"/>
        <v>No</v>
      </c>
    </row>
    <row r="57" spans="1:14">
      <c r="A57" s="4" t="s">
        <v>1447</v>
      </c>
      <c r="B57" s="4" t="s">
        <v>378</v>
      </c>
      <c r="C57" s="4" t="s">
        <v>934</v>
      </c>
      <c r="D57" s="4" t="s">
        <v>1448</v>
      </c>
      <c r="E57" s="4" t="s">
        <v>537</v>
      </c>
      <c r="F57" s="4" t="s">
        <v>1330</v>
      </c>
      <c r="G57" s="4" t="s">
        <v>1331</v>
      </c>
      <c r="H57" s="5">
        <v>46169</v>
      </c>
      <c r="I57" s="5">
        <v>46184</v>
      </c>
      <c r="J57" s="4">
        <f t="shared" ca="1" si="3"/>
        <v>-23</v>
      </c>
      <c r="K57" s="4" t="s">
        <v>1332</v>
      </c>
      <c r="L57" s="4" t="s">
        <v>100</v>
      </c>
      <c r="M57" s="4" t="str">
        <f t="shared" si="4"/>
        <v>Yes</v>
      </c>
      <c r="N57" s="4" t="str">
        <f t="shared" si="5"/>
        <v>Yes</v>
      </c>
    </row>
    <row r="58" spans="1:14">
      <c r="A58" s="4" t="s">
        <v>1449</v>
      </c>
      <c r="B58" s="4" t="s">
        <v>382</v>
      </c>
      <c r="C58" s="4" t="s">
        <v>864</v>
      </c>
      <c r="D58" s="4" t="s">
        <v>1450</v>
      </c>
      <c r="E58" s="4" t="s">
        <v>100</v>
      </c>
      <c r="F58" s="4" t="s">
        <v>1335</v>
      </c>
      <c r="G58" s="4" t="s">
        <v>1331</v>
      </c>
      <c r="H58" s="5">
        <v>46170</v>
      </c>
      <c r="I58" s="5">
        <v>46200</v>
      </c>
      <c r="J58" s="4">
        <f t="shared" ca="1" si="3"/>
        <v>-24</v>
      </c>
      <c r="K58" s="4" t="s">
        <v>1332</v>
      </c>
      <c r="L58" s="4" t="s">
        <v>100</v>
      </c>
      <c r="M58" s="4" t="str">
        <f t="shared" si="4"/>
        <v>No</v>
      </c>
      <c r="N58" s="4" t="str">
        <f t="shared" si="5"/>
        <v>Yes</v>
      </c>
    </row>
    <row r="59" spans="1:14">
      <c r="A59" s="4" t="s">
        <v>1451</v>
      </c>
      <c r="B59" s="4" t="s">
        <v>386</v>
      </c>
      <c r="C59" s="4" t="s">
        <v>912</v>
      </c>
      <c r="D59" s="4" t="s">
        <v>1452</v>
      </c>
      <c r="E59" s="4" t="s">
        <v>120</v>
      </c>
      <c r="F59" s="4" t="s">
        <v>1339</v>
      </c>
      <c r="G59" s="4" t="s">
        <v>1331</v>
      </c>
      <c r="H59" s="5">
        <v>46171</v>
      </c>
      <c r="I59" s="5">
        <v>46231</v>
      </c>
      <c r="J59" s="4">
        <f t="shared" ca="1" si="3"/>
        <v>-25</v>
      </c>
      <c r="K59" s="4" t="s">
        <v>1332</v>
      </c>
      <c r="L59" s="4" t="s">
        <v>120</v>
      </c>
      <c r="M59" s="4" t="str">
        <f t="shared" si="4"/>
        <v>No</v>
      </c>
      <c r="N59" s="4" t="str">
        <f t="shared" si="5"/>
        <v>No</v>
      </c>
    </row>
    <row r="60" spans="1:14">
      <c r="A60" s="4" t="s">
        <v>1453</v>
      </c>
      <c r="B60" s="4" t="s">
        <v>390</v>
      </c>
      <c r="C60" s="4" t="s">
        <v>854</v>
      </c>
      <c r="D60" s="4" t="s">
        <v>1454</v>
      </c>
      <c r="E60" s="4" t="s">
        <v>1338</v>
      </c>
      <c r="F60" s="4" t="s">
        <v>1342</v>
      </c>
      <c r="G60" s="4" t="s">
        <v>1331</v>
      </c>
      <c r="H60" s="5">
        <v>46172</v>
      </c>
      <c r="I60" s="5">
        <v>46262</v>
      </c>
      <c r="J60" s="4">
        <f t="shared" ca="1" si="3"/>
        <v>-26</v>
      </c>
      <c r="K60" s="4" t="s">
        <v>1332</v>
      </c>
      <c r="L60" s="4" t="s">
        <v>120</v>
      </c>
      <c r="M60" s="4" t="str">
        <f t="shared" si="4"/>
        <v>No</v>
      </c>
      <c r="N60" s="4" t="str">
        <f t="shared" si="5"/>
        <v>No</v>
      </c>
    </row>
    <row r="61" spans="1:14">
      <c r="A61" s="4" t="s">
        <v>1455</v>
      </c>
      <c r="B61" s="4" t="s">
        <v>394</v>
      </c>
      <c r="C61" s="4" t="s">
        <v>899</v>
      </c>
      <c r="D61" s="4" t="s">
        <v>1456</v>
      </c>
      <c r="E61" s="4" t="s">
        <v>537</v>
      </c>
      <c r="F61" s="4" t="s">
        <v>1345</v>
      </c>
      <c r="G61" s="4" t="s">
        <v>1331</v>
      </c>
      <c r="H61" s="5">
        <v>46143</v>
      </c>
      <c r="I61" s="5">
        <v>46158</v>
      </c>
      <c r="J61" s="4">
        <f t="shared" ca="1" si="3"/>
        <v>3</v>
      </c>
      <c r="K61" s="4" t="s">
        <v>1348</v>
      </c>
      <c r="L61" s="4" t="s">
        <v>1338</v>
      </c>
      <c r="M61" s="4" t="str">
        <f t="shared" si="4"/>
        <v>Yes</v>
      </c>
      <c r="N61" s="4" t="str">
        <f t="shared" si="5"/>
        <v>Yes</v>
      </c>
    </row>
    <row r="62" spans="1:14">
      <c r="A62" s="4" t="s">
        <v>1457</v>
      </c>
      <c r="B62" s="4" t="s">
        <v>398</v>
      </c>
      <c r="C62" s="4" t="s">
        <v>926</v>
      </c>
      <c r="D62" s="4" t="s">
        <v>1458</v>
      </c>
      <c r="E62" s="4" t="s">
        <v>100</v>
      </c>
      <c r="F62" s="4" t="s">
        <v>1330</v>
      </c>
      <c r="G62" s="4" t="s">
        <v>1331</v>
      </c>
      <c r="H62" s="5">
        <v>46144</v>
      </c>
      <c r="I62" s="5">
        <v>46174</v>
      </c>
      <c r="J62" s="4">
        <f t="shared" ca="1" si="3"/>
        <v>2</v>
      </c>
      <c r="K62" s="4" t="s">
        <v>1332</v>
      </c>
      <c r="L62" s="4" t="s">
        <v>100</v>
      </c>
      <c r="M62" s="4" t="str">
        <f t="shared" si="4"/>
        <v>No</v>
      </c>
      <c r="N62" s="4" t="str">
        <f t="shared" si="5"/>
        <v>Yes</v>
      </c>
    </row>
    <row r="63" spans="1:14">
      <c r="A63" s="4" t="s">
        <v>1459</v>
      </c>
      <c r="B63" s="4" t="s">
        <v>402</v>
      </c>
      <c r="C63" s="4" t="s">
        <v>934</v>
      </c>
      <c r="D63" s="4" t="s">
        <v>1460</v>
      </c>
      <c r="E63" s="4" t="s">
        <v>120</v>
      </c>
      <c r="F63" s="4" t="s">
        <v>1335</v>
      </c>
      <c r="G63" s="4" t="s">
        <v>1331</v>
      </c>
      <c r="H63" s="5">
        <v>46145</v>
      </c>
      <c r="I63" s="5">
        <v>46205</v>
      </c>
      <c r="J63" s="4">
        <f t="shared" ca="1" si="3"/>
        <v>1</v>
      </c>
      <c r="K63" s="4" t="s">
        <v>1332</v>
      </c>
      <c r="L63" s="4" t="s">
        <v>120</v>
      </c>
      <c r="M63" s="4" t="str">
        <f t="shared" si="4"/>
        <v>No</v>
      </c>
      <c r="N63" s="4" t="str">
        <f t="shared" si="5"/>
        <v>No</v>
      </c>
    </row>
    <row r="64" spans="1:14">
      <c r="A64" s="4" t="s">
        <v>1461</v>
      </c>
      <c r="B64" s="4" t="s">
        <v>406</v>
      </c>
      <c r="C64" s="4" t="s">
        <v>864</v>
      </c>
      <c r="D64" s="4" t="s">
        <v>1462</v>
      </c>
      <c r="E64" s="4" t="s">
        <v>1338</v>
      </c>
      <c r="F64" s="4" t="s">
        <v>1339</v>
      </c>
      <c r="G64" s="4" t="s">
        <v>1331</v>
      </c>
      <c r="H64" s="5">
        <v>46146</v>
      </c>
      <c r="I64" s="5">
        <v>46236</v>
      </c>
      <c r="J64" s="4">
        <f t="shared" ca="1" si="3"/>
        <v>0</v>
      </c>
      <c r="K64" s="4" t="s">
        <v>1332</v>
      </c>
      <c r="L64" s="4" t="s">
        <v>120</v>
      </c>
      <c r="M64" s="4" t="str">
        <f t="shared" si="4"/>
        <v>No</v>
      </c>
      <c r="N64" s="4" t="str">
        <f t="shared" si="5"/>
        <v>No</v>
      </c>
    </row>
    <row r="65" spans="1:14">
      <c r="A65" s="4" t="s">
        <v>1463</v>
      </c>
      <c r="B65" s="4" t="s">
        <v>410</v>
      </c>
      <c r="C65" s="4" t="s">
        <v>912</v>
      </c>
      <c r="D65" s="4" t="s">
        <v>1464</v>
      </c>
      <c r="E65" s="4" t="s">
        <v>537</v>
      </c>
      <c r="F65" s="4" t="s">
        <v>1342</v>
      </c>
      <c r="G65" s="4" t="s">
        <v>1331</v>
      </c>
      <c r="H65" s="5">
        <v>46147</v>
      </c>
      <c r="I65" s="5">
        <v>46162</v>
      </c>
      <c r="J65" s="4">
        <f t="shared" ca="1" si="3"/>
        <v>-1</v>
      </c>
      <c r="K65" s="4" t="s">
        <v>1332</v>
      </c>
      <c r="L65" s="4" t="s">
        <v>100</v>
      </c>
      <c r="M65" s="4" t="str">
        <f t="shared" si="4"/>
        <v>Yes</v>
      </c>
      <c r="N65" s="4" t="str">
        <f t="shared" si="5"/>
        <v>Yes</v>
      </c>
    </row>
    <row r="66" spans="1:14">
      <c r="A66" s="4" t="s">
        <v>1465</v>
      </c>
      <c r="B66" s="4" t="s">
        <v>414</v>
      </c>
      <c r="C66" s="4" t="s">
        <v>854</v>
      </c>
      <c r="D66" s="4" t="s">
        <v>1466</v>
      </c>
      <c r="E66" s="4" t="s">
        <v>100</v>
      </c>
      <c r="F66" s="4" t="s">
        <v>1345</v>
      </c>
      <c r="G66" s="4" t="s">
        <v>1331</v>
      </c>
      <c r="H66" s="5">
        <v>46148</v>
      </c>
      <c r="I66" s="5">
        <v>46178</v>
      </c>
      <c r="J66" s="4">
        <f t="shared" ref="J66:J97" ca="1" si="6">IF(K66="Closed",0,TODAY()-H66)</f>
        <v>-2</v>
      </c>
      <c r="K66" s="4" t="s">
        <v>1332</v>
      </c>
      <c r="L66" s="4" t="s">
        <v>100</v>
      </c>
      <c r="M66" s="4" t="str">
        <f t="shared" ref="M66:M97" si="7">IF(AND(E66="Critical",K66&lt;&gt;"Closed"),"Yes","No")</f>
        <v>No</v>
      </c>
      <c r="N66" s="4" t="str">
        <f t="shared" ref="N66:N97" si="8">IF(AND(OR(E66="Critical",E66="High"),K66&lt;&gt;"Closed"),"Yes","No")</f>
        <v>Yes</v>
      </c>
    </row>
    <row r="67" spans="1:14">
      <c r="A67" s="4" t="s">
        <v>1467</v>
      </c>
      <c r="B67" s="4" t="s">
        <v>418</v>
      </c>
      <c r="C67" s="4" t="s">
        <v>899</v>
      </c>
      <c r="D67" s="4" t="s">
        <v>1468</v>
      </c>
      <c r="E67" s="4" t="s">
        <v>120</v>
      </c>
      <c r="F67" s="4" t="s">
        <v>1330</v>
      </c>
      <c r="G67" s="4" t="s">
        <v>1331</v>
      </c>
      <c r="H67" s="5">
        <v>46149</v>
      </c>
      <c r="I67" s="5">
        <v>46209</v>
      </c>
      <c r="J67" s="4">
        <f t="shared" ca="1" si="6"/>
        <v>-3</v>
      </c>
      <c r="K67" s="4" t="s">
        <v>1348</v>
      </c>
      <c r="L67" s="4" t="s">
        <v>1338</v>
      </c>
      <c r="M67" s="4" t="str">
        <f t="shared" si="7"/>
        <v>No</v>
      </c>
      <c r="N67" s="4" t="str">
        <f t="shared" si="8"/>
        <v>No</v>
      </c>
    </row>
    <row r="68" spans="1:14">
      <c r="A68" s="4" t="s">
        <v>1469</v>
      </c>
      <c r="B68" s="4" t="s">
        <v>422</v>
      </c>
      <c r="C68" s="4" t="s">
        <v>926</v>
      </c>
      <c r="D68" s="4" t="s">
        <v>1470</v>
      </c>
      <c r="E68" s="4" t="s">
        <v>1338</v>
      </c>
      <c r="F68" s="4" t="s">
        <v>1335</v>
      </c>
      <c r="G68" s="4" t="s">
        <v>1331</v>
      </c>
      <c r="H68" s="5">
        <v>46150</v>
      </c>
      <c r="I68" s="5">
        <v>46240</v>
      </c>
      <c r="J68" s="4">
        <f t="shared" ca="1" si="6"/>
        <v>-4</v>
      </c>
      <c r="K68" s="4" t="s">
        <v>1332</v>
      </c>
      <c r="L68" s="4" t="s">
        <v>120</v>
      </c>
      <c r="M68" s="4" t="str">
        <f t="shared" si="7"/>
        <v>No</v>
      </c>
      <c r="N68" s="4" t="str">
        <f t="shared" si="8"/>
        <v>No</v>
      </c>
    </row>
    <row r="69" spans="1:14">
      <c r="A69" s="4" t="s">
        <v>1471</v>
      </c>
      <c r="B69" s="4" t="s">
        <v>426</v>
      </c>
      <c r="C69" s="4" t="s">
        <v>934</v>
      </c>
      <c r="D69" s="4" t="s">
        <v>1472</v>
      </c>
      <c r="E69" s="4" t="s">
        <v>537</v>
      </c>
      <c r="F69" s="4" t="s">
        <v>1339</v>
      </c>
      <c r="G69" s="4" t="s">
        <v>1331</v>
      </c>
      <c r="H69" s="5">
        <v>46151</v>
      </c>
      <c r="I69" s="5">
        <v>46166</v>
      </c>
      <c r="J69" s="4">
        <f t="shared" ca="1" si="6"/>
        <v>-5</v>
      </c>
      <c r="K69" s="4" t="s">
        <v>1332</v>
      </c>
      <c r="L69" s="4" t="s">
        <v>100</v>
      </c>
      <c r="M69" s="4" t="str">
        <f t="shared" si="7"/>
        <v>Yes</v>
      </c>
      <c r="N69" s="4" t="str">
        <f t="shared" si="8"/>
        <v>Yes</v>
      </c>
    </row>
    <row r="70" spans="1:14">
      <c r="A70" s="4" t="s">
        <v>1473</v>
      </c>
      <c r="B70" s="4" t="s">
        <v>430</v>
      </c>
      <c r="C70" s="4" t="s">
        <v>864</v>
      </c>
      <c r="D70" s="4" t="s">
        <v>1474</v>
      </c>
      <c r="E70" s="4" t="s">
        <v>100</v>
      </c>
      <c r="F70" s="4" t="s">
        <v>1342</v>
      </c>
      <c r="G70" s="4" t="s">
        <v>1331</v>
      </c>
      <c r="H70" s="5">
        <v>46152</v>
      </c>
      <c r="I70" s="5">
        <v>46182</v>
      </c>
      <c r="J70" s="4">
        <f t="shared" ca="1" si="6"/>
        <v>-6</v>
      </c>
      <c r="K70" s="4" t="s">
        <v>1332</v>
      </c>
      <c r="L70" s="4" t="s">
        <v>100</v>
      </c>
      <c r="M70" s="4" t="str">
        <f t="shared" si="7"/>
        <v>No</v>
      </c>
      <c r="N70" s="4" t="str">
        <f t="shared" si="8"/>
        <v>Yes</v>
      </c>
    </row>
    <row r="71" spans="1:14">
      <c r="A71" s="4" t="s">
        <v>1475</v>
      </c>
      <c r="B71" s="4" t="s">
        <v>434</v>
      </c>
      <c r="C71" s="4" t="s">
        <v>926</v>
      </c>
      <c r="D71" s="4" t="s">
        <v>1476</v>
      </c>
      <c r="E71" s="4" t="s">
        <v>120</v>
      </c>
      <c r="F71" s="4" t="s">
        <v>1345</v>
      </c>
      <c r="G71" s="4" t="s">
        <v>1331</v>
      </c>
      <c r="H71" s="5">
        <v>46153</v>
      </c>
      <c r="I71" s="5">
        <v>46213</v>
      </c>
      <c r="J71" s="4">
        <f t="shared" ca="1" si="6"/>
        <v>-7</v>
      </c>
      <c r="K71" s="4" t="s">
        <v>1332</v>
      </c>
      <c r="L71" s="4" t="s">
        <v>120</v>
      </c>
      <c r="M71" s="4" t="str">
        <f t="shared" si="7"/>
        <v>No</v>
      </c>
      <c r="N71" s="4" t="str">
        <f t="shared" si="8"/>
        <v>No</v>
      </c>
    </row>
    <row r="72" spans="1:14">
      <c r="A72" s="4" t="s">
        <v>1477</v>
      </c>
      <c r="B72" s="4" t="s">
        <v>441</v>
      </c>
      <c r="C72" s="4" t="s">
        <v>932</v>
      </c>
      <c r="D72" s="4" t="s">
        <v>1478</v>
      </c>
      <c r="E72" s="4" t="s">
        <v>1338</v>
      </c>
      <c r="F72" s="4" t="s">
        <v>1330</v>
      </c>
      <c r="G72" s="4" t="s">
        <v>1331</v>
      </c>
      <c r="H72" s="5">
        <v>46154</v>
      </c>
      <c r="I72" s="5">
        <v>46244</v>
      </c>
      <c r="J72" s="4">
        <f t="shared" ca="1" si="6"/>
        <v>-8</v>
      </c>
      <c r="K72" s="4" t="s">
        <v>1332</v>
      </c>
      <c r="L72" s="4" t="s">
        <v>120</v>
      </c>
      <c r="M72" s="4" t="str">
        <f t="shared" si="7"/>
        <v>No</v>
      </c>
      <c r="N72" s="4" t="str">
        <f t="shared" si="8"/>
        <v>No</v>
      </c>
    </row>
    <row r="73" spans="1:14">
      <c r="A73" s="4" t="s">
        <v>1479</v>
      </c>
      <c r="B73" s="4" t="s">
        <v>447</v>
      </c>
      <c r="C73" s="4" t="s">
        <v>871</v>
      </c>
      <c r="D73" s="4" t="s">
        <v>1480</v>
      </c>
      <c r="E73" s="4" t="s">
        <v>537</v>
      </c>
      <c r="F73" s="4" t="s">
        <v>1335</v>
      </c>
      <c r="G73" s="4" t="s">
        <v>1331</v>
      </c>
      <c r="H73" s="5">
        <v>46155</v>
      </c>
      <c r="I73" s="5">
        <v>46170</v>
      </c>
      <c r="J73" s="4">
        <f t="shared" ca="1" si="6"/>
        <v>-9</v>
      </c>
      <c r="K73" s="4" t="s">
        <v>1348</v>
      </c>
      <c r="L73" s="4" t="s">
        <v>1338</v>
      </c>
      <c r="M73" s="4" t="str">
        <f t="shared" si="7"/>
        <v>Yes</v>
      </c>
      <c r="N73" s="4" t="str">
        <f t="shared" si="8"/>
        <v>Yes</v>
      </c>
    </row>
    <row r="74" spans="1:14">
      <c r="A74" s="4" t="s">
        <v>1481</v>
      </c>
      <c r="B74" s="4" t="s">
        <v>453</v>
      </c>
      <c r="C74" s="4" t="s">
        <v>862</v>
      </c>
      <c r="D74" s="4" t="s">
        <v>1482</v>
      </c>
      <c r="E74" s="4" t="s">
        <v>100</v>
      </c>
      <c r="F74" s="4" t="s">
        <v>1339</v>
      </c>
      <c r="G74" s="4" t="s">
        <v>1331</v>
      </c>
      <c r="H74" s="5">
        <v>46156</v>
      </c>
      <c r="I74" s="5">
        <v>46186</v>
      </c>
      <c r="J74" s="4">
        <f t="shared" ca="1" si="6"/>
        <v>-10</v>
      </c>
      <c r="K74" s="4" t="s">
        <v>1332</v>
      </c>
      <c r="L74" s="4" t="s">
        <v>100</v>
      </c>
      <c r="M74" s="4" t="str">
        <f t="shared" si="7"/>
        <v>No</v>
      </c>
      <c r="N74" s="4" t="str">
        <f t="shared" si="8"/>
        <v>Yes</v>
      </c>
    </row>
    <row r="75" spans="1:14">
      <c r="A75" s="4" t="s">
        <v>1483</v>
      </c>
      <c r="B75" s="4" t="s">
        <v>459</v>
      </c>
      <c r="C75" s="4" t="s">
        <v>937</v>
      </c>
      <c r="D75" s="4" t="s">
        <v>1484</v>
      </c>
      <c r="E75" s="4" t="s">
        <v>120</v>
      </c>
      <c r="F75" s="4" t="s">
        <v>1342</v>
      </c>
      <c r="G75" s="4" t="s">
        <v>1331</v>
      </c>
      <c r="H75" s="5">
        <v>46157</v>
      </c>
      <c r="I75" s="5">
        <v>46217</v>
      </c>
      <c r="J75" s="4">
        <f t="shared" ca="1" si="6"/>
        <v>-11</v>
      </c>
      <c r="K75" s="4" t="s">
        <v>1332</v>
      </c>
      <c r="L75" s="4" t="s">
        <v>120</v>
      </c>
      <c r="M75" s="4" t="str">
        <f t="shared" si="7"/>
        <v>No</v>
      </c>
      <c r="N75" s="4" t="str">
        <f t="shared" si="8"/>
        <v>No</v>
      </c>
    </row>
    <row r="76" spans="1:14">
      <c r="A76" s="4" t="s">
        <v>1485</v>
      </c>
      <c r="B76" s="4" t="s">
        <v>465</v>
      </c>
      <c r="C76" s="4" t="s">
        <v>897</v>
      </c>
      <c r="D76" s="4" t="s">
        <v>1486</v>
      </c>
      <c r="E76" s="4" t="s">
        <v>1338</v>
      </c>
      <c r="F76" s="4" t="s">
        <v>1345</v>
      </c>
      <c r="G76" s="4" t="s">
        <v>1331</v>
      </c>
      <c r="H76" s="5">
        <v>46158</v>
      </c>
      <c r="I76" s="5">
        <v>46248</v>
      </c>
      <c r="J76" s="4">
        <f t="shared" ca="1" si="6"/>
        <v>-12</v>
      </c>
      <c r="K76" s="4" t="s">
        <v>1332</v>
      </c>
      <c r="L76" s="4" t="s">
        <v>120</v>
      </c>
      <c r="M76" s="4" t="str">
        <f t="shared" si="7"/>
        <v>No</v>
      </c>
      <c r="N76" s="4" t="str">
        <f t="shared" si="8"/>
        <v>No</v>
      </c>
    </row>
    <row r="77" spans="1:14">
      <c r="A77" s="4" t="s">
        <v>1487</v>
      </c>
      <c r="B77" s="4" t="s">
        <v>470</v>
      </c>
      <c r="C77" s="4" t="s">
        <v>926</v>
      </c>
      <c r="D77" s="4" t="s">
        <v>1488</v>
      </c>
      <c r="E77" s="4" t="s">
        <v>537</v>
      </c>
      <c r="F77" s="4" t="s">
        <v>1330</v>
      </c>
      <c r="G77" s="4" t="s">
        <v>1331</v>
      </c>
      <c r="H77" s="5">
        <v>46159</v>
      </c>
      <c r="I77" s="5">
        <v>46174</v>
      </c>
      <c r="J77" s="4">
        <f t="shared" ca="1" si="6"/>
        <v>-13</v>
      </c>
      <c r="K77" s="4" t="s">
        <v>1332</v>
      </c>
      <c r="L77" s="4" t="s">
        <v>100</v>
      </c>
      <c r="M77" s="4" t="str">
        <f t="shared" si="7"/>
        <v>Yes</v>
      </c>
      <c r="N77" s="4" t="str">
        <f t="shared" si="8"/>
        <v>Yes</v>
      </c>
    </row>
    <row r="78" spans="1:14">
      <c r="A78" s="4" t="s">
        <v>1489</v>
      </c>
      <c r="B78" s="4" t="s">
        <v>474</v>
      </c>
      <c r="C78" s="4" t="s">
        <v>932</v>
      </c>
      <c r="D78" s="4" t="s">
        <v>1490</v>
      </c>
      <c r="E78" s="4" t="s">
        <v>100</v>
      </c>
      <c r="F78" s="4" t="s">
        <v>1335</v>
      </c>
      <c r="G78" s="4" t="s">
        <v>1331</v>
      </c>
      <c r="H78" s="5">
        <v>46160</v>
      </c>
      <c r="I78" s="5">
        <v>46190</v>
      </c>
      <c r="J78" s="4">
        <f t="shared" ca="1" si="6"/>
        <v>-14</v>
      </c>
      <c r="K78" s="4" t="s">
        <v>1332</v>
      </c>
      <c r="L78" s="4" t="s">
        <v>100</v>
      </c>
      <c r="M78" s="4" t="str">
        <f t="shared" si="7"/>
        <v>No</v>
      </c>
      <c r="N78" s="4" t="str">
        <f t="shared" si="8"/>
        <v>Yes</v>
      </c>
    </row>
    <row r="79" spans="1:14">
      <c r="A79" s="4" t="s">
        <v>1491</v>
      </c>
      <c r="B79" s="4" t="s">
        <v>478</v>
      </c>
      <c r="C79" s="4" t="s">
        <v>871</v>
      </c>
      <c r="D79" s="4" t="s">
        <v>1492</v>
      </c>
      <c r="E79" s="4" t="s">
        <v>120</v>
      </c>
      <c r="F79" s="4" t="s">
        <v>1339</v>
      </c>
      <c r="G79" s="4" t="s">
        <v>1331</v>
      </c>
      <c r="H79" s="5">
        <v>46161</v>
      </c>
      <c r="I79" s="5">
        <v>46221</v>
      </c>
      <c r="J79" s="4">
        <f t="shared" ca="1" si="6"/>
        <v>-15</v>
      </c>
      <c r="K79" s="4" t="s">
        <v>1348</v>
      </c>
      <c r="L79" s="4" t="s">
        <v>1338</v>
      </c>
      <c r="M79" s="4" t="str">
        <f t="shared" si="7"/>
        <v>No</v>
      </c>
      <c r="N79" s="4" t="str">
        <f t="shared" si="8"/>
        <v>No</v>
      </c>
    </row>
    <row r="80" spans="1:14">
      <c r="A80" s="4" t="s">
        <v>1493</v>
      </c>
      <c r="B80" s="4" t="s">
        <v>482</v>
      </c>
      <c r="C80" s="4" t="s">
        <v>862</v>
      </c>
      <c r="D80" s="4" t="s">
        <v>1494</v>
      </c>
      <c r="E80" s="4" t="s">
        <v>1338</v>
      </c>
      <c r="F80" s="4" t="s">
        <v>1342</v>
      </c>
      <c r="G80" s="4" t="s">
        <v>1331</v>
      </c>
      <c r="H80" s="5">
        <v>46162</v>
      </c>
      <c r="I80" s="5">
        <v>46252</v>
      </c>
      <c r="J80" s="4">
        <f t="shared" ca="1" si="6"/>
        <v>-16</v>
      </c>
      <c r="K80" s="4" t="s">
        <v>1332</v>
      </c>
      <c r="L80" s="4" t="s">
        <v>120</v>
      </c>
      <c r="M80" s="4" t="str">
        <f t="shared" si="7"/>
        <v>No</v>
      </c>
      <c r="N80" s="4" t="str">
        <f t="shared" si="8"/>
        <v>No</v>
      </c>
    </row>
    <row r="81" spans="1:14">
      <c r="A81" s="4" t="s">
        <v>1495</v>
      </c>
      <c r="B81" s="4" t="s">
        <v>486</v>
      </c>
      <c r="C81" s="4" t="s">
        <v>937</v>
      </c>
      <c r="D81" s="4" t="s">
        <v>1496</v>
      </c>
      <c r="E81" s="4" t="s">
        <v>537</v>
      </c>
      <c r="F81" s="4" t="s">
        <v>1345</v>
      </c>
      <c r="G81" s="4" t="s">
        <v>1331</v>
      </c>
      <c r="H81" s="5">
        <v>46163</v>
      </c>
      <c r="I81" s="5">
        <v>46178</v>
      </c>
      <c r="J81" s="4">
        <f t="shared" ca="1" si="6"/>
        <v>-17</v>
      </c>
      <c r="K81" s="4" t="s">
        <v>1332</v>
      </c>
      <c r="L81" s="4" t="s">
        <v>100</v>
      </c>
      <c r="M81" s="4" t="str">
        <f t="shared" si="7"/>
        <v>Yes</v>
      </c>
      <c r="N81" s="4" t="str">
        <f t="shared" si="8"/>
        <v>Yes</v>
      </c>
    </row>
    <row r="82" spans="1:14">
      <c r="A82" s="4" t="s">
        <v>1497</v>
      </c>
      <c r="B82" s="4" t="s">
        <v>490</v>
      </c>
      <c r="C82" s="4" t="s">
        <v>897</v>
      </c>
      <c r="D82" s="4" t="s">
        <v>1498</v>
      </c>
      <c r="E82" s="4" t="s">
        <v>100</v>
      </c>
      <c r="F82" s="4" t="s">
        <v>1330</v>
      </c>
      <c r="G82" s="4" t="s">
        <v>1331</v>
      </c>
      <c r="H82" s="5">
        <v>46164</v>
      </c>
      <c r="I82" s="5">
        <v>46194</v>
      </c>
      <c r="J82" s="4">
        <f t="shared" ca="1" si="6"/>
        <v>-18</v>
      </c>
      <c r="K82" s="4" t="s">
        <v>1332</v>
      </c>
      <c r="L82" s="4" t="s">
        <v>100</v>
      </c>
      <c r="M82" s="4" t="str">
        <f t="shared" si="7"/>
        <v>No</v>
      </c>
      <c r="N82" s="4" t="str">
        <f t="shared" si="8"/>
        <v>Yes</v>
      </c>
    </row>
    <row r="83" spans="1:14">
      <c r="A83" s="4" t="s">
        <v>1499</v>
      </c>
      <c r="B83" s="4" t="s">
        <v>494</v>
      </c>
      <c r="C83" s="4" t="s">
        <v>926</v>
      </c>
      <c r="D83" s="4" t="s">
        <v>1500</v>
      </c>
      <c r="E83" s="4" t="s">
        <v>120</v>
      </c>
      <c r="F83" s="4" t="s">
        <v>1335</v>
      </c>
      <c r="G83" s="4" t="s">
        <v>1331</v>
      </c>
      <c r="H83" s="5">
        <v>46165</v>
      </c>
      <c r="I83" s="5">
        <v>46225</v>
      </c>
      <c r="J83" s="4">
        <f t="shared" ca="1" si="6"/>
        <v>-19</v>
      </c>
      <c r="K83" s="4" t="s">
        <v>1332</v>
      </c>
      <c r="L83" s="4" t="s">
        <v>120</v>
      </c>
      <c r="M83" s="4" t="str">
        <f t="shared" si="7"/>
        <v>No</v>
      </c>
      <c r="N83" s="4" t="str">
        <f t="shared" si="8"/>
        <v>No</v>
      </c>
    </row>
    <row r="84" spans="1:14">
      <c r="A84" s="4" t="s">
        <v>1501</v>
      </c>
      <c r="B84" s="4" t="s">
        <v>498</v>
      </c>
      <c r="C84" s="4" t="s">
        <v>932</v>
      </c>
      <c r="D84" s="4" t="s">
        <v>1502</v>
      </c>
      <c r="E84" s="4" t="s">
        <v>1338</v>
      </c>
      <c r="F84" s="4" t="s">
        <v>1339</v>
      </c>
      <c r="G84" s="4" t="s">
        <v>1331</v>
      </c>
      <c r="H84" s="5">
        <v>46166</v>
      </c>
      <c r="I84" s="5">
        <v>46256</v>
      </c>
      <c r="J84" s="4">
        <f t="shared" ca="1" si="6"/>
        <v>-20</v>
      </c>
      <c r="K84" s="4" t="s">
        <v>1332</v>
      </c>
      <c r="L84" s="4" t="s">
        <v>120</v>
      </c>
      <c r="M84" s="4" t="str">
        <f t="shared" si="7"/>
        <v>No</v>
      </c>
      <c r="N84" s="4" t="str">
        <f t="shared" si="8"/>
        <v>No</v>
      </c>
    </row>
    <row r="85" spans="1:14">
      <c r="A85" s="4" t="s">
        <v>1503</v>
      </c>
      <c r="B85" s="4" t="s">
        <v>502</v>
      </c>
      <c r="C85" s="4" t="s">
        <v>871</v>
      </c>
      <c r="D85" s="4" t="s">
        <v>1504</v>
      </c>
      <c r="E85" s="4" t="s">
        <v>537</v>
      </c>
      <c r="F85" s="4" t="s">
        <v>1342</v>
      </c>
      <c r="G85" s="4" t="s">
        <v>1331</v>
      </c>
      <c r="H85" s="5">
        <v>46167</v>
      </c>
      <c r="I85" s="5">
        <v>46182</v>
      </c>
      <c r="J85" s="4">
        <f t="shared" ca="1" si="6"/>
        <v>-21</v>
      </c>
      <c r="K85" s="4" t="s">
        <v>1348</v>
      </c>
      <c r="L85" s="4" t="s">
        <v>1338</v>
      </c>
      <c r="M85" s="4" t="str">
        <f t="shared" si="7"/>
        <v>Yes</v>
      </c>
      <c r="N85" s="4" t="str">
        <f t="shared" si="8"/>
        <v>Yes</v>
      </c>
    </row>
    <row r="86" spans="1:14">
      <c r="A86" s="4" t="s">
        <v>1505</v>
      </c>
      <c r="B86" s="4" t="s">
        <v>506</v>
      </c>
      <c r="C86" s="4" t="s">
        <v>862</v>
      </c>
      <c r="D86" s="4" t="s">
        <v>1506</v>
      </c>
      <c r="E86" s="4" t="s">
        <v>100</v>
      </c>
      <c r="F86" s="4" t="s">
        <v>1345</v>
      </c>
      <c r="G86" s="4" t="s">
        <v>1331</v>
      </c>
      <c r="H86" s="5">
        <v>46168</v>
      </c>
      <c r="I86" s="5">
        <v>46198</v>
      </c>
      <c r="J86" s="4">
        <f t="shared" ca="1" si="6"/>
        <v>-22</v>
      </c>
      <c r="K86" s="4" t="s">
        <v>1332</v>
      </c>
      <c r="L86" s="4" t="s">
        <v>100</v>
      </c>
      <c r="M86" s="4" t="str">
        <f t="shared" si="7"/>
        <v>No</v>
      </c>
      <c r="N86" s="4" t="str">
        <f t="shared" si="8"/>
        <v>Yes</v>
      </c>
    </row>
    <row r="87" spans="1:14">
      <c r="A87" s="4" t="s">
        <v>1507</v>
      </c>
      <c r="B87" s="4" t="s">
        <v>510</v>
      </c>
      <c r="C87" s="4" t="s">
        <v>937</v>
      </c>
      <c r="D87" s="4" t="s">
        <v>1508</v>
      </c>
      <c r="E87" s="4" t="s">
        <v>120</v>
      </c>
      <c r="F87" s="4" t="s">
        <v>1330</v>
      </c>
      <c r="G87" s="4" t="s">
        <v>1331</v>
      </c>
      <c r="H87" s="5">
        <v>46169</v>
      </c>
      <c r="I87" s="5">
        <v>46229</v>
      </c>
      <c r="J87" s="4">
        <f t="shared" ca="1" si="6"/>
        <v>-23</v>
      </c>
      <c r="K87" s="4" t="s">
        <v>1332</v>
      </c>
      <c r="L87" s="4" t="s">
        <v>120</v>
      </c>
      <c r="M87" s="4" t="str">
        <f t="shared" si="7"/>
        <v>No</v>
      </c>
      <c r="N87" s="4" t="str">
        <f t="shared" si="8"/>
        <v>No</v>
      </c>
    </row>
    <row r="88" spans="1:14">
      <c r="A88" s="4" t="s">
        <v>1509</v>
      </c>
      <c r="B88" s="4" t="s">
        <v>514</v>
      </c>
      <c r="C88" s="4" t="s">
        <v>897</v>
      </c>
      <c r="D88" s="4" t="s">
        <v>1510</v>
      </c>
      <c r="E88" s="4" t="s">
        <v>1338</v>
      </c>
      <c r="F88" s="4" t="s">
        <v>1335</v>
      </c>
      <c r="G88" s="4" t="s">
        <v>1331</v>
      </c>
      <c r="H88" s="5">
        <v>46170</v>
      </c>
      <c r="I88" s="5">
        <v>46260</v>
      </c>
      <c r="J88" s="4">
        <f t="shared" ca="1" si="6"/>
        <v>-24</v>
      </c>
      <c r="K88" s="4" t="s">
        <v>1332</v>
      </c>
      <c r="L88" s="4" t="s">
        <v>120</v>
      </c>
      <c r="M88" s="4" t="str">
        <f t="shared" si="7"/>
        <v>No</v>
      </c>
      <c r="N88" s="4" t="str">
        <f t="shared" si="8"/>
        <v>No</v>
      </c>
    </row>
    <row r="89" spans="1:14">
      <c r="A89" s="4" t="s">
        <v>1511</v>
      </c>
      <c r="B89" s="4" t="s">
        <v>518</v>
      </c>
      <c r="C89" s="4" t="s">
        <v>926</v>
      </c>
      <c r="D89" s="4" t="s">
        <v>1512</v>
      </c>
      <c r="E89" s="4" t="s">
        <v>537</v>
      </c>
      <c r="F89" s="4" t="s">
        <v>1339</v>
      </c>
      <c r="G89" s="4" t="s">
        <v>1331</v>
      </c>
      <c r="H89" s="5">
        <v>46171</v>
      </c>
      <c r="I89" s="5">
        <v>46186</v>
      </c>
      <c r="J89" s="4">
        <f t="shared" ca="1" si="6"/>
        <v>-25</v>
      </c>
      <c r="K89" s="4" t="s">
        <v>1332</v>
      </c>
      <c r="L89" s="4" t="s">
        <v>100</v>
      </c>
      <c r="M89" s="4" t="str">
        <f t="shared" si="7"/>
        <v>Yes</v>
      </c>
      <c r="N89" s="4" t="str">
        <f t="shared" si="8"/>
        <v>Yes</v>
      </c>
    </row>
    <row r="90" spans="1:14">
      <c r="A90" s="4" t="s">
        <v>1513</v>
      </c>
      <c r="B90" s="4" t="s">
        <v>522</v>
      </c>
      <c r="C90" s="4" t="s">
        <v>932</v>
      </c>
      <c r="D90" s="4" t="s">
        <v>1514</v>
      </c>
      <c r="E90" s="4" t="s">
        <v>100</v>
      </c>
      <c r="F90" s="4" t="s">
        <v>1342</v>
      </c>
      <c r="G90" s="4" t="s">
        <v>1331</v>
      </c>
      <c r="H90" s="5">
        <v>46172</v>
      </c>
      <c r="I90" s="5">
        <v>46202</v>
      </c>
      <c r="J90" s="4">
        <f t="shared" ca="1" si="6"/>
        <v>-26</v>
      </c>
      <c r="K90" s="4" t="s">
        <v>1332</v>
      </c>
      <c r="L90" s="4" t="s">
        <v>100</v>
      </c>
      <c r="M90" s="4" t="str">
        <f t="shared" si="7"/>
        <v>No</v>
      </c>
      <c r="N90" s="4" t="str">
        <f t="shared" si="8"/>
        <v>Yes</v>
      </c>
    </row>
    <row r="91" spans="1:14">
      <c r="A91" s="4" t="s">
        <v>1515</v>
      </c>
      <c r="B91" s="4" t="s">
        <v>526</v>
      </c>
      <c r="C91" s="4" t="s">
        <v>871</v>
      </c>
      <c r="D91" s="4" t="s">
        <v>1516</v>
      </c>
      <c r="E91" s="4" t="s">
        <v>120</v>
      </c>
      <c r="F91" s="4" t="s">
        <v>1345</v>
      </c>
      <c r="G91" s="4" t="s">
        <v>1331</v>
      </c>
      <c r="H91" s="5">
        <v>46143</v>
      </c>
      <c r="I91" s="5">
        <v>46203</v>
      </c>
      <c r="J91" s="4">
        <f t="shared" ca="1" si="6"/>
        <v>3</v>
      </c>
      <c r="K91" s="4" t="s">
        <v>1348</v>
      </c>
      <c r="L91" s="4" t="s">
        <v>1338</v>
      </c>
      <c r="M91" s="4" t="str">
        <f t="shared" si="7"/>
        <v>No</v>
      </c>
      <c r="N91" s="4" t="str">
        <f t="shared" si="8"/>
        <v>No</v>
      </c>
    </row>
    <row r="92" spans="1:14">
      <c r="A92" s="4" t="s">
        <v>1517</v>
      </c>
      <c r="B92" s="4" t="s">
        <v>530</v>
      </c>
      <c r="C92" s="4" t="s">
        <v>862</v>
      </c>
      <c r="D92" s="4" t="s">
        <v>1518</v>
      </c>
      <c r="E92" s="4" t="s">
        <v>1338</v>
      </c>
      <c r="F92" s="4" t="s">
        <v>1330</v>
      </c>
      <c r="G92" s="4" t="s">
        <v>1331</v>
      </c>
      <c r="H92" s="5">
        <v>46144</v>
      </c>
      <c r="I92" s="5">
        <v>46234</v>
      </c>
      <c r="J92" s="4">
        <f t="shared" ca="1" si="6"/>
        <v>2</v>
      </c>
      <c r="K92" s="4" t="s">
        <v>1332</v>
      </c>
      <c r="L92" s="4" t="s">
        <v>120</v>
      </c>
      <c r="M92" s="4" t="str">
        <f t="shared" si="7"/>
        <v>No</v>
      </c>
      <c r="N92" s="4" t="str">
        <f t="shared" si="8"/>
        <v>No</v>
      </c>
    </row>
    <row r="93" spans="1:14">
      <c r="A93" s="4" t="s">
        <v>1519</v>
      </c>
      <c r="B93" s="4" t="s">
        <v>534</v>
      </c>
      <c r="C93" s="4" t="s">
        <v>915</v>
      </c>
      <c r="D93" s="4" t="s">
        <v>1520</v>
      </c>
      <c r="E93" s="4" t="s">
        <v>537</v>
      </c>
      <c r="F93" s="4" t="s">
        <v>1335</v>
      </c>
      <c r="G93" s="4" t="s">
        <v>1331</v>
      </c>
      <c r="H93" s="5">
        <v>46145</v>
      </c>
      <c r="I93" s="5">
        <v>46160</v>
      </c>
      <c r="J93" s="4">
        <f t="shared" ca="1" si="6"/>
        <v>1</v>
      </c>
      <c r="K93" s="4" t="s">
        <v>1332</v>
      </c>
      <c r="L93" s="4" t="s">
        <v>100</v>
      </c>
      <c r="M93" s="4" t="str">
        <f t="shared" si="7"/>
        <v>Yes</v>
      </c>
      <c r="N93" s="4" t="str">
        <f t="shared" si="8"/>
        <v>Yes</v>
      </c>
    </row>
    <row r="94" spans="1:14">
      <c r="A94" s="4" t="s">
        <v>1521</v>
      </c>
      <c r="B94" s="4" t="s">
        <v>542</v>
      </c>
      <c r="C94" s="4" t="s">
        <v>873</v>
      </c>
      <c r="D94" s="4" t="s">
        <v>1522</v>
      </c>
      <c r="E94" s="4" t="s">
        <v>100</v>
      </c>
      <c r="F94" s="4" t="s">
        <v>1339</v>
      </c>
      <c r="G94" s="4" t="s">
        <v>1331</v>
      </c>
      <c r="H94" s="5">
        <v>46146</v>
      </c>
      <c r="I94" s="5">
        <v>46176</v>
      </c>
      <c r="J94" s="4">
        <f t="shared" ca="1" si="6"/>
        <v>0</v>
      </c>
      <c r="K94" s="4" t="s">
        <v>1332</v>
      </c>
      <c r="L94" s="4" t="s">
        <v>100</v>
      </c>
      <c r="M94" s="4" t="str">
        <f t="shared" si="7"/>
        <v>No</v>
      </c>
      <c r="N94" s="4" t="str">
        <f t="shared" si="8"/>
        <v>Yes</v>
      </c>
    </row>
    <row r="95" spans="1:14">
      <c r="A95" s="4" t="s">
        <v>1523</v>
      </c>
      <c r="B95" s="4" t="s">
        <v>547</v>
      </c>
      <c r="C95" s="4" t="s">
        <v>878</v>
      </c>
      <c r="D95" s="4" t="s">
        <v>1524</v>
      </c>
      <c r="E95" s="4" t="s">
        <v>120</v>
      </c>
      <c r="F95" s="4" t="s">
        <v>1342</v>
      </c>
      <c r="G95" s="4" t="s">
        <v>1331</v>
      </c>
      <c r="H95" s="5">
        <v>46147</v>
      </c>
      <c r="I95" s="5">
        <v>46207</v>
      </c>
      <c r="J95" s="4">
        <f t="shared" ca="1" si="6"/>
        <v>-1</v>
      </c>
      <c r="K95" s="4" t="s">
        <v>1332</v>
      </c>
      <c r="L95" s="4" t="s">
        <v>120</v>
      </c>
      <c r="M95" s="4" t="str">
        <f t="shared" si="7"/>
        <v>No</v>
      </c>
      <c r="N95" s="4" t="str">
        <f t="shared" si="8"/>
        <v>No</v>
      </c>
    </row>
    <row r="96" spans="1:14">
      <c r="A96" s="4" t="s">
        <v>1525</v>
      </c>
      <c r="B96" s="4" t="s">
        <v>552</v>
      </c>
      <c r="C96" s="4" t="s">
        <v>939</v>
      </c>
      <c r="D96" s="4" t="s">
        <v>1526</v>
      </c>
      <c r="E96" s="4" t="s">
        <v>1338</v>
      </c>
      <c r="F96" s="4" t="s">
        <v>1345</v>
      </c>
      <c r="G96" s="4" t="s">
        <v>1331</v>
      </c>
      <c r="H96" s="5">
        <v>46148</v>
      </c>
      <c r="I96" s="5">
        <v>46238</v>
      </c>
      <c r="J96" s="4">
        <f t="shared" ca="1" si="6"/>
        <v>-2</v>
      </c>
      <c r="K96" s="4" t="s">
        <v>1332</v>
      </c>
      <c r="L96" s="4" t="s">
        <v>120</v>
      </c>
      <c r="M96" s="4" t="str">
        <f t="shared" si="7"/>
        <v>No</v>
      </c>
      <c r="N96" s="4" t="str">
        <f t="shared" si="8"/>
        <v>No</v>
      </c>
    </row>
    <row r="97" spans="1:14">
      <c r="A97" s="4" t="s">
        <v>1527</v>
      </c>
      <c r="B97" s="4" t="s">
        <v>557</v>
      </c>
      <c r="C97" s="4" t="s">
        <v>904</v>
      </c>
      <c r="D97" s="4" t="s">
        <v>1528</v>
      </c>
      <c r="E97" s="4" t="s">
        <v>537</v>
      </c>
      <c r="F97" s="4" t="s">
        <v>1330</v>
      </c>
      <c r="G97" s="4" t="s">
        <v>1331</v>
      </c>
      <c r="H97" s="5">
        <v>46149</v>
      </c>
      <c r="I97" s="5">
        <v>46164</v>
      </c>
      <c r="J97" s="4">
        <f t="shared" ca="1" si="6"/>
        <v>-3</v>
      </c>
      <c r="K97" s="4" t="s">
        <v>1348</v>
      </c>
      <c r="L97" s="4" t="s">
        <v>1338</v>
      </c>
      <c r="M97" s="4" t="str">
        <f t="shared" si="7"/>
        <v>Yes</v>
      </c>
      <c r="N97" s="4" t="str">
        <f t="shared" si="8"/>
        <v>Yes</v>
      </c>
    </row>
    <row r="98" spans="1:14">
      <c r="A98" s="4" t="s">
        <v>1529</v>
      </c>
      <c r="B98" s="4" t="s">
        <v>562</v>
      </c>
      <c r="C98" s="4" t="s">
        <v>923</v>
      </c>
      <c r="D98" s="4" t="s">
        <v>1530</v>
      </c>
      <c r="E98" s="4" t="s">
        <v>100</v>
      </c>
      <c r="F98" s="4" t="s">
        <v>1335</v>
      </c>
      <c r="G98" s="4" t="s">
        <v>1331</v>
      </c>
      <c r="H98" s="5">
        <v>46150</v>
      </c>
      <c r="I98" s="5">
        <v>46180</v>
      </c>
      <c r="J98" s="4">
        <f t="shared" ref="J98:J121" ca="1" si="9">IF(K98="Closed",0,TODAY()-H98)</f>
        <v>-4</v>
      </c>
      <c r="K98" s="4" t="s">
        <v>1332</v>
      </c>
      <c r="L98" s="4" t="s">
        <v>100</v>
      </c>
      <c r="M98" s="4" t="str">
        <f t="shared" ref="M98:M121" si="10">IF(AND(E98="Critical",K98&lt;&gt;"Closed"),"Yes","No")</f>
        <v>No</v>
      </c>
      <c r="N98" s="4" t="str">
        <f t="shared" ref="N98:N121" si="11">IF(AND(OR(E98="Critical",E98="High"),K98&lt;&gt;"Closed"),"Yes","No")</f>
        <v>Yes</v>
      </c>
    </row>
    <row r="99" spans="1:14">
      <c r="A99" s="4" t="s">
        <v>1531</v>
      </c>
      <c r="B99" s="4" t="s">
        <v>567</v>
      </c>
      <c r="C99" s="4" t="s">
        <v>926</v>
      </c>
      <c r="D99" s="4" t="s">
        <v>1532</v>
      </c>
      <c r="E99" s="4" t="s">
        <v>120</v>
      </c>
      <c r="F99" s="4" t="s">
        <v>1339</v>
      </c>
      <c r="G99" s="4" t="s">
        <v>1331</v>
      </c>
      <c r="H99" s="5">
        <v>46151</v>
      </c>
      <c r="I99" s="5">
        <v>46211</v>
      </c>
      <c r="J99" s="4">
        <f t="shared" ca="1" si="9"/>
        <v>-5</v>
      </c>
      <c r="K99" s="4" t="s">
        <v>1332</v>
      </c>
      <c r="L99" s="4" t="s">
        <v>120</v>
      </c>
      <c r="M99" s="4" t="str">
        <f t="shared" si="10"/>
        <v>No</v>
      </c>
      <c r="N99" s="4" t="str">
        <f t="shared" si="11"/>
        <v>No</v>
      </c>
    </row>
    <row r="100" spans="1:14">
      <c r="A100" s="4" t="s">
        <v>1533</v>
      </c>
      <c r="B100" s="4" t="s">
        <v>571</v>
      </c>
      <c r="C100" s="4" t="s">
        <v>902</v>
      </c>
      <c r="D100" s="4" t="s">
        <v>1534</v>
      </c>
      <c r="E100" s="4" t="s">
        <v>1338</v>
      </c>
      <c r="F100" s="4" t="s">
        <v>1342</v>
      </c>
      <c r="G100" s="4" t="s">
        <v>1331</v>
      </c>
      <c r="H100" s="5">
        <v>46152</v>
      </c>
      <c r="I100" s="5">
        <v>46242</v>
      </c>
      <c r="J100" s="4">
        <f t="shared" ca="1" si="9"/>
        <v>-6</v>
      </c>
      <c r="K100" s="4" t="s">
        <v>1332</v>
      </c>
      <c r="L100" s="4" t="s">
        <v>120</v>
      </c>
      <c r="M100" s="4" t="str">
        <f t="shared" si="10"/>
        <v>No</v>
      </c>
      <c r="N100" s="4" t="str">
        <f t="shared" si="11"/>
        <v>No</v>
      </c>
    </row>
    <row r="101" spans="1:14">
      <c r="A101" s="4" t="s">
        <v>1535</v>
      </c>
      <c r="B101" s="4" t="s">
        <v>575</v>
      </c>
      <c r="C101" s="4" t="s">
        <v>915</v>
      </c>
      <c r="D101" s="4" t="s">
        <v>1536</v>
      </c>
      <c r="E101" s="4" t="s">
        <v>537</v>
      </c>
      <c r="F101" s="4" t="s">
        <v>1345</v>
      </c>
      <c r="G101" s="4" t="s">
        <v>1331</v>
      </c>
      <c r="H101" s="5">
        <v>46153</v>
      </c>
      <c r="I101" s="5">
        <v>46168</v>
      </c>
      <c r="J101" s="4">
        <f t="shared" ca="1" si="9"/>
        <v>-7</v>
      </c>
      <c r="K101" s="4" t="s">
        <v>1332</v>
      </c>
      <c r="L101" s="4" t="s">
        <v>100</v>
      </c>
      <c r="M101" s="4" t="str">
        <f t="shared" si="10"/>
        <v>Yes</v>
      </c>
      <c r="N101" s="4" t="str">
        <f t="shared" si="11"/>
        <v>Yes</v>
      </c>
    </row>
    <row r="102" spans="1:14">
      <c r="A102" s="4" t="s">
        <v>1537</v>
      </c>
      <c r="B102" s="4" t="s">
        <v>578</v>
      </c>
      <c r="C102" s="4" t="s">
        <v>873</v>
      </c>
      <c r="D102" s="4" t="s">
        <v>1538</v>
      </c>
      <c r="E102" s="4" t="s">
        <v>100</v>
      </c>
      <c r="F102" s="4" t="s">
        <v>1330</v>
      </c>
      <c r="G102" s="4" t="s">
        <v>1331</v>
      </c>
      <c r="H102" s="5">
        <v>46154</v>
      </c>
      <c r="I102" s="5">
        <v>46184</v>
      </c>
      <c r="J102" s="4">
        <f t="shared" ca="1" si="9"/>
        <v>-8</v>
      </c>
      <c r="K102" s="4" t="s">
        <v>1332</v>
      </c>
      <c r="L102" s="4" t="s">
        <v>100</v>
      </c>
      <c r="M102" s="4" t="str">
        <f t="shared" si="10"/>
        <v>No</v>
      </c>
      <c r="N102" s="4" t="str">
        <f t="shared" si="11"/>
        <v>Yes</v>
      </c>
    </row>
    <row r="103" spans="1:14">
      <c r="A103" s="4" t="s">
        <v>1539</v>
      </c>
      <c r="B103" s="4" t="s">
        <v>581</v>
      </c>
      <c r="C103" s="4" t="s">
        <v>878</v>
      </c>
      <c r="D103" s="4" t="s">
        <v>1540</v>
      </c>
      <c r="E103" s="4" t="s">
        <v>120</v>
      </c>
      <c r="F103" s="4" t="s">
        <v>1335</v>
      </c>
      <c r="G103" s="4" t="s">
        <v>1331</v>
      </c>
      <c r="H103" s="5">
        <v>46155</v>
      </c>
      <c r="I103" s="5">
        <v>46215</v>
      </c>
      <c r="J103" s="4">
        <f t="shared" ca="1" si="9"/>
        <v>-9</v>
      </c>
      <c r="K103" s="4" t="s">
        <v>1348</v>
      </c>
      <c r="L103" s="4" t="s">
        <v>1338</v>
      </c>
      <c r="M103" s="4" t="str">
        <f t="shared" si="10"/>
        <v>No</v>
      </c>
      <c r="N103" s="4" t="str">
        <f t="shared" si="11"/>
        <v>No</v>
      </c>
    </row>
    <row r="104" spans="1:14">
      <c r="A104" s="4" t="s">
        <v>1541</v>
      </c>
      <c r="B104" s="4" t="s">
        <v>584</v>
      </c>
      <c r="C104" s="4" t="s">
        <v>939</v>
      </c>
      <c r="D104" s="4" t="s">
        <v>1542</v>
      </c>
      <c r="E104" s="4" t="s">
        <v>1338</v>
      </c>
      <c r="F104" s="4" t="s">
        <v>1339</v>
      </c>
      <c r="G104" s="4" t="s">
        <v>1331</v>
      </c>
      <c r="H104" s="5">
        <v>46156</v>
      </c>
      <c r="I104" s="5">
        <v>46246</v>
      </c>
      <c r="J104" s="4">
        <f t="shared" ca="1" si="9"/>
        <v>-10</v>
      </c>
      <c r="K104" s="4" t="s">
        <v>1332</v>
      </c>
      <c r="L104" s="4" t="s">
        <v>120</v>
      </c>
      <c r="M104" s="4" t="str">
        <f t="shared" si="10"/>
        <v>No</v>
      </c>
      <c r="N104" s="4" t="str">
        <f t="shared" si="11"/>
        <v>No</v>
      </c>
    </row>
    <row r="105" spans="1:14">
      <c r="A105" s="4" t="s">
        <v>1543</v>
      </c>
      <c r="B105" s="4" t="s">
        <v>587</v>
      </c>
      <c r="C105" s="4" t="s">
        <v>904</v>
      </c>
      <c r="D105" s="4" t="s">
        <v>1544</v>
      </c>
      <c r="E105" s="4" t="s">
        <v>537</v>
      </c>
      <c r="F105" s="4" t="s">
        <v>1342</v>
      </c>
      <c r="G105" s="4" t="s">
        <v>1331</v>
      </c>
      <c r="H105" s="5">
        <v>46157</v>
      </c>
      <c r="I105" s="5">
        <v>46172</v>
      </c>
      <c r="J105" s="4">
        <f t="shared" ca="1" si="9"/>
        <v>-11</v>
      </c>
      <c r="K105" s="4" t="s">
        <v>1332</v>
      </c>
      <c r="L105" s="4" t="s">
        <v>100</v>
      </c>
      <c r="M105" s="4" t="str">
        <f t="shared" si="10"/>
        <v>Yes</v>
      </c>
      <c r="N105" s="4" t="str">
        <f t="shared" si="11"/>
        <v>Yes</v>
      </c>
    </row>
    <row r="106" spans="1:14">
      <c r="A106" s="4" t="s">
        <v>1545</v>
      </c>
      <c r="B106" s="4" t="s">
        <v>590</v>
      </c>
      <c r="C106" s="4" t="s">
        <v>923</v>
      </c>
      <c r="D106" s="4" t="s">
        <v>1546</v>
      </c>
      <c r="E106" s="4" t="s">
        <v>100</v>
      </c>
      <c r="F106" s="4" t="s">
        <v>1345</v>
      </c>
      <c r="G106" s="4" t="s">
        <v>1331</v>
      </c>
      <c r="H106" s="5">
        <v>46158</v>
      </c>
      <c r="I106" s="5">
        <v>46188</v>
      </c>
      <c r="J106" s="4">
        <f t="shared" ca="1" si="9"/>
        <v>-12</v>
      </c>
      <c r="K106" s="4" t="s">
        <v>1332</v>
      </c>
      <c r="L106" s="4" t="s">
        <v>100</v>
      </c>
      <c r="M106" s="4" t="str">
        <f t="shared" si="10"/>
        <v>No</v>
      </c>
      <c r="N106" s="4" t="str">
        <f t="shared" si="11"/>
        <v>Yes</v>
      </c>
    </row>
    <row r="107" spans="1:14">
      <c r="A107" s="4" t="s">
        <v>1547</v>
      </c>
      <c r="B107" s="4" t="s">
        <v>593</v>
      </c>
      <c r="C107" s="4" t="s">
        <v>926</v>
      </c>
      <c r="D107" s="4" t="s">
        <v>1548</v>
      </c>
      <c r="E107" s="4" t="s">
        <v>120</v>
      </c>
      <c r="F107" s="4" t="s">
        <v>1330</v>
      </c>
      <c r="G107" s="4" t="s">
        <v>1331</v>
      </c>
      <c r="H107" s="5">
        <v>46159</v>
      </c>
      <c r="I107" s="5">
        <v>46219</v>
      </c>
      <c r="J107" s="4">
        <f t="shared" ca="1" si="9"/>
        <v>-13</v>
      </c>
      <c r="K107" s="4" t="s">
        <v>1332</v>
      </c>
      <c r="L107" s="4" t="s">
        <v>120</v>
      </c>
      <c r="M107" s="4" t="str">
        <f t="shared" si="10"/>
        <v>No</v>
      </c>
      <c r="N107" s="4" t="str">
        <f t="shared" si="11"/>
        <v>No</v>
      </c>
    </row>
    <row r="108" spans="1:14">
      <c r="A108" s="4" t="s">
        <v>1549</v>
      </c>
      <c r="B108" s="4" t="s">
        <v>596</v>
      </c>
      <c r="C108" s="4" t="s">
        <v>902</v>
      </c>
      <c r="D108" s="4" t="s">
        <v>1550</v>
      </c>
      <c r="E108" s="4" t="s">
        <v>1338</v>
      </c>
      <c r="F108" s="4" t="s">
        <v>1335</v>
      </c>
      <c r="G108" s="4" t="s">
        <v>1331</v>
      </c>
      <c r="H108" s="5">
        <v>46160</v>
      </c>
      <c r="I108" s="5">
        <v>46250</v>
      </c>
      <c r="J108" s="4">
        <f t="shared" ca="1" si="9"/>
        <v>-14</v>
      </c>
      <c r="K108" s="4" t="s">
        <v>1332</v>
      </c>
      <c r="L108" s="4" t="s">
        <v>120</v>
      </c>
      <c r="M108" s="4" t="str">
        <f t="shared" si="10"/>
        <v>No</v>
      </c>
      <c r="N108" s="4" t="str">
        <f t="shared" si="11"/>
        <v>No</v>
      </c>
    </row>
    <row r="109" spans="1:14">
      <c r="A109" s="4" t="s">
        <v>1551</v>
      </c>
      <c r="B109" s="4" t="s">
        <v>599</v>
      </c>
      <c r="C109" s="4" t="s">
        <v>915</v>
      </c>
      <c r="D109" s="4" t="s">
        <v>1552</v>
      </c>
      <c r="E109" s="4" t="s">
        <v>537</v>
      </c>
      <c r="F109" s="4" t="s">
        <v>1339</v>
      </c>
      <c r="G109" s="4" t="s">
        <v>1331</v>
      </c>
      <c r="H109" s="5">
        <v>46161</v>
      </c>
      <c r="I109" s="5">
        <v>46176</v>
      </c>
      <c r="J109" s="4">
        <f t="shared" ca="1" si="9"/>
        <v>-15</v>
      </c>
      <c r="K109" s="4" t="s">
        <v>1348</v>
      </c>
      <c r="L109" s="4" t="s">
        <v>1338</v>
      </c>
      <c r="M109" s="4" t="str">
        <f t="shared" si="10"/>
        <v>Yes</v>
      </c>
      <c r="N109" s="4" t="str">
        <f t="shared" si="11"/>
        <v>Yes</v>
      </c>
    </row>
    <row r="110" spans="1:14">
      <c r="A110" s="4" t="s">
        <v>1553</v>
      </c>
      <c r="B110" s="4" t="s">
        <v>602</v>
      </c>
      <c r="C110" s="4" t="s">
        <v>873</v>
      </c>
      <c r="D110" s="4" t="s">
        <v>1554</v>
      </c>
      <c r="E110" s="4" t="s">
        <v>100</v>
      </c>
      <c r="F110" s="4" t="s">
        <v>1342</v>
      </c>
      <c r="G110" s="4" t="s">
        <v>1331</v>
      </c>
      <c r="H110" s="5">
        <v>46162</v>
      </c>
      <c r="I110" s="5">
        <v>46192</v>
      </c>
      <c r="J110" s="4">
        <f t="shared" ca="1" si="9"/>
        <v>-16</v>
      </c>
      <c r="K110" s="4" t="s">
        <v>1332</v>
      </c>
      <c r="L110" s="4" t="s">
        <v>100</v>
      </c>
      <c r="M110" s="4" t="str">
        <f t="shared" si="10"/>
        <v>No</v>
      </c>
      <c r="N110" s="4" t="str">
        <f t="shared" si="11"/>
        <v>Yes</v>
      </c>
    </row>
    <row r="111" spans="1:14">
      <c r="A111" s="4" t="s">
        <v>1555</v>
      </c>
      <c r="B111" s="4" t="s">
        <v>605</v>
      </c>
      <c r="C111" s="4" t="s">
        <v>878</v>
      </c>
      <c r="D111" s="4" t="s">
        <v>1556</v>
      </c>
      <c r="E111" s="4" t="s">
        <v>120</v>
      </c>
      <c r="F111" s="4" t="s">
        <v>1345</v>
      </c>
      <c r="G111" s="4" t="s">
        <v>1331</v>
      </c>
      <c r="H111" s="5">
        <v>46163</v>
      </c>
      <c r="I111" s="5">
        <v>46223</v>
      </c>
      <c r="J111" s="4">
        <f t="shared" ca="1" si="9"/>
        <v>-17</v>
      </c>
      <c r="K111" s="4" t="s">
        <v>1332</v>
      </c>
      <c r="L111" s="4" t="s">
        <v>120</v>
      </c>
      <c r="M111" s="4" t="str">
        <f t="shared" si="10"/>
        <v>No</v>
      </c>
      <c r="N111" s="4" t="str">
        <f t="shared" si="11"/>
        <v>No</v>
      </c>
    </row>
    <row r="112" spans="1:14">
      <c r="A112" s="4" t="s">
        <v>1557</v>
      </c>
      <c r="B112" s="4" t="s">
        <v>608</v>
      </c>
      <c r="C112" s="4" t="s">
        <v>939</v>
      </c>
      <c r="D112" s="4" t="s">
        <v>1558</v>
      </c>
      <c r="E112" s="4" t="s">
        <v>1338</v>
      </c>
      <c r="F112" s="4" t="s">
        <v>1330</v>
      </c>
      <c r="G112" s="4" t="s">
        <v>1331</v>
      </c>
      <c r="H112" s="5">
        <v>46164</v>
      </c>
      <c r="I112" s="5">
        <v>46254</v>
      </c>
      <c r="J112" s="4">
        <f t="shared" ca="1" si="9"/>
        <v>-18</v>
      </c>
      <c r="K112" s="4" t="s">
        <v>1332</v>
      </c>
      <c r="L112" s="4" t="s">
        <v>120</v>
      </c>
      <c r="M112" s="4" t="str">
        <f t="shared" si="10"/>
        <v>No</v>
      </c>
      <c r="N112" s="4" t="str">
        <f t="shared" si="11"/>
        <v>No</v>
      </c>
    </row>
    <row r="113" spans="1:14">
      <c r="A113" s="4" t="s">
        <v>1559</v>
      </c>
      <c r="B113" s="4" t="s">
        <v>611</v>
      </c>
      <c r="C113" s="4" t="s">
        <v>904</v>
      </c>
      <c r="D113" s="4" t="s">
        <v>1560</v>
      </c>
      <c r="E113" s="4" t="s">
        <v>537</v>
      </c>
      <c r="F113" s="4" t="s">
        <v>1335</v>
      </c>
      <c r="G113" s="4" t="s">
        <v>1331</v>
      </c>
      <c r="H113" s="5">
        <v>46165</v>
      </c>
      <c r="I113" s="5">
        <v>46180</v>
      </c>
      <c r="J113" s="4">
        <f t="shared" ca="1" si="9"/>
        <v>-19</v>
      </c>
      <c r="K113" s="4" t="s">
        <v>1332</v>
      </c>
      <c r="L113" s="4" t="s">
        <v>100</v>
      </c>
      <c r="M113" s="4" t="str">
        <f t="shared" si="10"/>
        <v>Yes</v>
      </c>
      <c r="N113" s="4" t="str">
        <f t="shared" si="11"/>
        <v>Yes</v>
      </c>
    </row>
    <row r="114" spans="1:14">
      <c r="A114" s="4" t="s">
        <v>1561</v>
      </c>
      <c r="B114" s="4" t="s">
        <v>614</v>
      </c>
      <c r="C114" s="4" t="s">
        <v>923</v>
      </c>
      <c r="D114" s="4" t="s">
        <v>1562</v>
      </c>
      <c r="E114" s="4" t="s">
        <v>100</v>
      </c>
      <c r="F114" s="4" t="s">
        <v>1339</v>
      </c>
      <c r="G114" s="4" t="s">
        <v>1331</v>
      </c>
      <c r="H114" s="5">
        <v>46166</v>
      </c>
      <c r="I114" s="5">
        <v>46196</v>
      </c>
      <c r="J114" s="4">
        <f t="shared" ca="1" si="9"/>
        <v>-20</v>
      </c>
      <c r="K114" s="4" t="s">
        <v>1332</v>
      </c>
      <c r="L114" s="4" t="s">
        <v>100</v>
      </c>
      <c r="M114" s="4" t="str">
        <f t="shared" si="10"/>
        <v>No</v>
      </c>
      <c r="N114" s="4" t="str">
        <f t="shared" si="11"/>
        <v>Yes</v>
      </c>
    </row>
    <row r="115" spans="1:14">
      <c r="A115" s="4" t="s">
        <v>1563</v>
      </c>
      <c r="B115" s="4" t="s">
        <v>617</v>
      </c>
      <c r="C115" s="4" t="s">
        <v>926</v>
      </c>
      <c r="D115" s="4" t="s">
        <v>1564</v>
      </c>
      <c r="E115" s="4" t="s">
        <v>120</v>
      </c>
      <c r="F115" s="4" t="s">
        <v>1342</v>
      </c>
      <c r="G115" s="4" t="s">
        <v>1331</v>
      </c>
      <c r="H115" s="5">
        <v>46167</v>
      </c>
      <c r="I115" s="5">
        <v>46227</v>
      </c>
      <c r="J115" s="4">
        <f t="shared" ca="1" si="9"/>
        <v>-21</v>
      </c>
      <c r="K115" s="4" t="s">
        <v>1348</v>
      </c>
      <c r="L115" s="4" t="s">
        <v>1338</v>
      </c>
      <c r="M115" s="4" t="str">
        <f t="shared" si="10"/>
        <v>No</v>
      </c>
      <c r="N115" s="4" t="str">
        <f t="shared" si="11"/>
        <v>No</v>
      </c>
    </row>
    <row r="116" spans="1:14">
      <c r="A116" s="4" t="s">
        <v>1565</v>
      </c>
      <c r="B116" s="4" t="s">
        <v>620</v>
      </c>
      <c r="C116" s="4" t="s">
        <v>902</v>
      </c>
      <c r="D116" s="4" t="s">
        <v>1566</v>
      </c>
      <c r="E116" s="4" t="s">
        <v>1338</v>
      </c>
      <c r="F116" s="4" t="s">
        <v>1345</v>
      </c>
      <c r="G116" s="4" t="s">
        <v>1331</v>
      </c>
      <c r="H116" s="5">
        <v>46168</v>
      </c>
      <c r="I116" s="5">
        <v>46258</v>
      </c>
      <c r="J116" s="4">
        <f t="shared" ca="1" si="9"/>
        <v>-22</v>
      </c>
      <c r="K116" s="4" t="s">
        <v>1332</v>
      </c>
      <c r="L116" s="4" t="s">
        <v>120</v>
      </c>
      <c r="M116" s="4" t="str">
        <f t="shared" si="10"/>
        <v>No</v>
      </c>
      <c r="N116" s="4" t="str">
        <f t="shared" si="11"/>
        <v>No</v>
      </c>
    </row>
    <row r="117" spans="1:14">
      <c r="A117" s="4" t="s">
        <v>1567</v>
      </c>
      <c r="B117" s="4" t="s">
        <v>623</v>
      </c>
      <c r="C117" s="4" t="s">
        <v>915</v>
      </c>
      <c r="D117" s="4" t="s">
        <v>1568</v>
      </c>
      <c r="E117" s="4" t="s">
        <v>537</v>
      </c>
      <c r="F117" s="4" t="s">
        <v>1330</v>
      </c>
      <c r="G117" s="4" t="s">
        <v>1331</v>
      </c>
      <c r="H117" s="5">
        <v>46169</v>
      </c>
      <c r="I117" s="5">
        <v>46184</v>
      </c>
      <c r="J117" s="4">
        <f t="shared" ca="1" si="9"/>
        <v>-23</v>
      </c>
      <c r="K117" s="4" t="s">
        <v>1332</v>
      </c>
      <c r="L117" s="4" t="s">
        <v>100</v>
      </c>
      <c r="M117" s="4" t="str">
        <f t="shared" si="10"/>
        <v>Yes</v>
      </c>
      <c r="N117" s="4" t="str">
        <f t="shared" si="11"/>
        <v>Yes</v>
      </c>
    </row>
    <row r="118" spans="1:14">
      <c r="A118" s="4" t="s">
        <v>1569</v>
      </c>
      <c r="B118" s="4" t="s">
        <v>626</v>
      </c>
      <c r="C118" s="4" t="s">
        <v>873</v>
      </c>
      <c r="D118" s="4" t="s">
        <v>1570</v>
      </c>
      <c r="E118" s="4" t="s">
        <v>100</v>
      </c>
      <c r="F118" s="4" t="s">
        <v>1335</v>
      </c>
      <c r="G118" s="4" t="s">
        <v>1331</v>
      </c>
      <c r="H118" s="5">
        <v>46170</v>
      </c>
      <c r="I118" s="5">
        <v>46200</v>
      </c>
      <c r="J118" s="4">
        <f t="shared" ca="1" si="9"/>
        <v>-24</v>
      </c>
      <c r="K118" s="4" t="s">
        <v>1332</v>
      </c>
      <c r="L118" s="4" t="s">
        <v>100</v>
      </c>
      <c r="M118" s="4" t="str">
        <f t="shared" si="10"/>
        <v>No</v>
      </c>
      <c r="N118" s="4" t="str">
        <f t="shared" si="11"/>
        <v>Yes</v>
      </c>
    </row>
    <row r="119" spans="1:14">
      <c r="A119" s="4" t="s">
        <v>1571</v>
      </c>
      <c r="B119" s="4" t="s">
        <v>629</v>
      </c>
      <c r="C119" s="4" t="s">
        <v>878</v>
      </c>
      <c r="D119" s="4" t="s">
        <v>1572</v>
      </c>
      <c r="E119" s="4" t="s">
        <v>120</v>
      </c>
      <c r="F119" s="4" t="s">
        <v>1339</v>
      </c>
      <c r="G119" s="4" t="s">
        <v>1331</v>
      </c>
      <c r="H119" s="5">
        <v>46171</v>
      </c>
      <c r="I119" s="5">
        <v>46231</v>
      </c>
      <c r="J119" s="4">
        <f t="shared" ca="1" si="9"/>
        <v>-25</v>
      </c>
      <c r="K119" s="4" t="s">
        <v>1332</v>
      </c>
      <c r="L119" s="4" t="s">
        <v>120</v>
      </c>
      <c r="M119" s="4" t="str">
        <f t="shared" si="10"/>
        <v>No</v>
      </c>
      <c r="N119" s="4" t="str">
        <f t="shared" si="11"/>
        <v>No</v>
      </c>
    </row>
    <row r="120" spans="1:14">
      <c r="A120" s="4" t="s">
        <v>1573</v>
      </c>
      <c r="B120" s="4" t="s">
        <v>632</v>
      </c>
      <c r="C120" s="4" t="s">
        <v>939</v>
      </c>
      <c r="D120" s="4" t="s">
        <v>1574</v>
      </c>
      <c r="E120" s="4" t="s">
        <v>1338</v>
      </c>
      <c r="F120" s="4" t="s">
        <v>1342</v>
      </c>
      <c r="G120" s="4" t="s">
        <v>1331</v>
      </c>
      <c r="H120" s="5">
        <v>46172</v>
      </c>
      <c r="I120" s="5">
        <v>46262</v>
      </c>
      <c r="J120" s="4">
        <f t="shared" ca="1" si="9"/>
        <v>-26</v>
      </c>
      <c r="K120" s="4" t="s">
        <v>1332</v>
      </c>
      <c r="L120" s="4" t="s">
        <v>120</v>
      </c>
      <c r="M120" s="4" t="str">
        <f t="shared" si="10"/>
        <v>No</v>
      </c>
      <c r="N120" s="4" t="str">
        <f t="shared" si="11"/>
        <v>No</v>
      </c>
    </row>
    <row r="121" spans="1:14">
      <c r="A121" s="4" t="s">
        <v>1575</v>
      </c>
      <c r="B121" s="4" t="s">
        <v>635</v>
      </c>
      <c r="C121" s="4" t="s">
        <v>904</v>
      </c>
      <c r="D121" s="4" t="s">
        <v>1576</v>
      </c>
      <c r="E121" s="4" t="s">
        <v>537</v>
      </c>
      <c r="F121" s="4" t="s">
        <v>1345</v>
      </c>
      <c r="G121" s="4" t="s">
        <v>1331</v>
      </c>
      <c r="H121" s="5">
        <v>46143</v>
      </c>
      <c r="I121" s="5">
        <v>46158</v>
      </c>
      <c r="J121" s="4">
        <f t="shared" ca="1" si="9"/>
        <v>3</v>
      </c>
      <c r="K121" s="4" t="s">
        <v>1348</v>
      </c>
      <c r="L121" s="4" t="s">
        <v>1338</v>
      </c>
      <c r="M121" s="4" t="str">
        <f t="shared" si="10"/>
        <v>Yes</v>
      </c>
      <c r="N121" s="4" t="str">
        <f t="shared" si="11"/>
        <v>Yes</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
  <sheetViews>
    <sheetView topLeftCell="C1" zoomScale="120" zoomScaleNormal="120" workbookViewId="0">
      <selection activeCell="D11" sqref="D11"/>
    </sheetView>
  </sheetViews>
  <sheetFormatPr defaultRowHeight="15"/>
  <cols>
    <col min="1" max="1" width="19.25" style="2" bestFit="1" customWidth="1"/>
    <col min="2" max="2" width="12.5" style="2" bestFit="1" customWidth="1"/>
    <col min="3" max="3" width="27.5" style="2" bestFit="1" customWidth="1"/>
    <col min="4" max="4" width="33.25" style="2" bestFit="1" customWidth="1"/>
    <col min="5" max="5" width="22.5" style="2" bestFit="1" customWidth="1"/>
    <col min="6" max="6" width="14.625" style="2" customWidth="1"/>
    <col min="7" max="7" width="15.375" style="2" customWidth="1"/>
    <col min="8" max="16384" width="9" style="2"/>
  </cols>
  <sheetData>
    <row r="1" spans="1:26" s="14" customFormat="1">
      <c r="A1" s="12" t="s">
        <v>1577</v>
      </c>
      <c r="B1" s="12" t="s">
        <v>949</v>
      </c>
      <c r="C1" s="12" t="s">
        <v>1578</v>
      </c>
      <c r="D1" s="12" t="s">
        <v>1579</v>
      </c>
      <c r="E1" s="12" t="s">
        <v>1580</v>
      </c>
      <c r="F1" s="12" t="s">
        <v>3</v>
      </c>
      <c r="G1" s="12" t="s">
        <v>1581</v>
      </c>
      <c r="H1" s="13"/>
      <c r="I1" s="13"/>
      <c r="J1" s="13"/>
      <c r="K1" s="13"/>
      <c r="L1" s="13"/>
      <c r="M1" s="13"/>
      <c r="N1" s="13"/>
      <c r="O1" s="13"/>
      <c r="P1" s="13"/>
      <c r="Q1" s="13"/>
      <c r="R1" s="13"/>
      <c r="S1" s="13"/>
      <c r="T1" s="13"/>
      <c r="U1" s="13"/>
      <c r="V1" s="13"/>
      <c r="W1" s="13"/>
      <c r="X1" s="13"/>
      <c r="Y1" s="13"/>
      <c r="Z1" s="13"/>
    </row>
    <row r="2" spans="1:26">
      <c r="A2" s="2" t="s">
        <v>1582</v>
      </c>
      <c r="B2" s="2" t="s">
        <v>1583</v>
      </c>
      <c r="C2" s="2" t="s">
        <v>1584</v>
      </c>
      <c r="D2" s="2" t="s">
        <v>1585</v>
      </c>
      <c r="E2" s="2" t="s">
        <v>1586</v>
      </c>
      <c r="F2" s="2" t="s">
        <v>7</v>
      </c>
    </row>
    <row r="3" spans="1:26">
      <c r="A3" s="2" t="s">
        <v>1587</v>
      </c>
      <c r="B3" s="2" t="s">
        <v>1588</v>
      </c>
      <c r="C3" s="2" t="s">
        <v>1589</v>
      </c>
      <c r="D3" s="2" t="s">
        <v>1590</v>
      </c>
      <c r="E3" s="2" t="s">
        <v>1591</v>
      </c>
      <c r="F3" s="2" t="s">
        <v>7</v>
      </c>
    </row>
    <row r="4" spans="1:26">
      <c r="A4" s="2" t="s">
        <v>1592</v>
      </c>
      <c r="B4" s="2" t="s">
        <v>1593</v>
      </c>
      <c r="C4" s="2" t="s">
        <v>1594</v>
      </c>
      <c r="D4" s="2" t="s">
        <v>1595</v>
      </c>
      <c r="E4" s="2" t="s">
        <v>1596</v>
      </c>
      <c r="F4" s="2" t="s">
        <v>11</v>
      </c>
    </row>
    <row r="5" spans="1:26">
      <c r="A5" s="2" t="s">
        <v>1597</v>
      </c>
      <c r="B5" s="2" t="s">
        <v>1598</v>
      </c>
      <c r="C5" s="2" t="s">
        <v>1599</v>
      </c>
      <c r="D5" s="2" t="s">
        <v>1600</v>
      </c>
      <c r="E5" s="2" t="s">
        <v>972</v>
      </c>
      <c r="F5" s="2" t="s">
        <v>7</v>
      </c>
    </row>
    <row r="6" spans="1:26">
      <c r="A6" s="2" t="s">
        <v>1601</v>
      </c>
      <c r="B6" s="2" t="s">
        <v>1602</v>
      </c>
      <c r="C6" s="2" t="s">
        <v>1603</v>
      </c>
      <c r="D6" s="2" t="s">
        <v>1604</v>
      </c>
      <c r="E6" s="2" t="s">
        <v>1605</v>
      </c>
      <c r="F6" s="2" t="s">
        <v>11</v>
      </c>
    </row>
    <row r="7" spans="1:26">
      <c r="A7" s="2" t="s">
        <v>1606</v>
      </c>
      <c r="B7" s="2" t="s">
        <v>1602</v>
      </c>
      <c r="C7" s="2" t="s">
        <v>1607</v>
      </c>
      <c r="D7" s="2" t="s">
        <v>1608</v>
      </c>
      <c r="E7" s="2" t="s">
        <v>1609</v>
      </c>
      <c r="F7" s="2" t="s">
        <v>11</v>
      </c>
    </row>
    <row r="8" spans="1:26">
      <c r="A8" s="2" t="s">
        <v>1610</v>
      </c>
      <c r="B8" s="2" t="s">
        <v>1588</v>
      </c>
      <c r="C8" s="2" t="s">
        <v>1611</v>
      </c>
      <c r="D8" s="2" t="s">
        <v>1612</v>
      </c>
      <c r="E8" s="2" t="s">
        <v>1613</v>
      </c>
      <c r="F8" s="2" t="s">
        <v>7</v>
      </c>
    </row>
    <row r="9" spans="1:26">
      <c r="A9" s="2" t="s">
        <v>1614</v>
      </c>
      <c r="B9" s="2" t="s">
        <v>1615</v>
      </c>
      <c r="C9" s="2" t="s">
        <v>1616</v>
      </c>
      <c r="D9" s="2" t="s">
        <v>1617</v>
      </c>
      <c r="E9" s="2" t="s">
        <v>1618</v>
      </c>
      <c r="F9" s="2" t="s">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
  <sheetViews>
    <sheetView workbookViewId="0">
      <selection activeCell="D21" sqref="D21"/>
    </sheetView>
  </sheetViews>
  <sheetFormatPr defaultRowHeight="15"/>
  <cols>
    <col min="1" max="1" width="32.125" style="2" bestFit="1" customWidth="1"/>
    <col min="2" max="2" width="12" style="2" customWidth="1"/>
    <col min="3" max="3" width="29" style="2" customWidth="1"/>
    <col min="4" max="4" width="45.875" style="2" customWidth="1"/>
    <col min="5" max="5" width="19.375" style="2" customWidth="1"/>
    <col min="6" max="6" width="13.25" style="2" customWidth="1"/>
    <col min="7" max="7" width="15.625" style="2" customWidth="1"/>
    <col min="8" max="16384" width="9" style="2"/>
  </cols>
  <sheetData>
    <row r="1" spans="1:26">
      <c r="A1" s="12" t="s">
        <v>1577</v>
      </c>
      <c r="B1" s="12" t="s">
        <v>949</v>
      </c>
      <c r="C1" s="12" t="s">
        <v>1578</v>
      </c>
      <c r="D1" s="12" t="s">
        <v>1579</v>
      </c>
      <c r="E1" s="12" t="s">
        <v>1580</v>
      </c>
      <c r="F1" s="12" t="s">
        <v>3</v>
      </c>
      <c r="G1" s="12" t="s">
        <v>1581</v>
      </c>
      <c r="H1" s="1"/>
      <c r="I1" s="1"/>
      <c r="J1" s="1"/>
      <c r="K1" s="1"/>
      <c r="L1" s="1"/>
      <c r="M1" s="1"/>
      <c r="N1" s="1"/>
      <c r="O1" s="1"/>
      <c r="P1" s="1"/>
      <c r="Q1" s="1"/>
      <c r="R1" s="1"/>
      <c r="S1" s="1"/>
      <c r="T1" s="1"/>
      <c r="U1" s="1"/>
      <c r="V1" s="1"/>
      <c r="W1" s="1"/>
      <c r="X1" s="1"/>
      <c r="Y1" s="1"/>
      <c r="Z1" s="1"/>
    </row>
    <row r="2" spans="1:26">
      <c r="A2" s="2" t="s">
        <v>1619</v>
      </c>
      <c r="B2" s="2" t="s">
        <v>1588</v>
      </c>
      <c r="C2" s="2" t="s">
        <v>1620</v>
      </c>
      <c r="D2" s="2" t="s">
        <v>1621</v>
      </c>
      <c r="E2" s="2" t="s">
        <v>1591</v>
      </c>
      <c r="F2" s="2" t="s">
        <v>11</v>
      </c>
    </row>
    <row r="3" spans="1:26">
      <c r="A3" s="2" t="s">
        <v>1622</v>
      </c>
      <c r="B3" s="2" t="s">
        <v>1593</v>
      </c>
      <c r="C3" s="2" t="s">
        <v>1623</v>
      </c>
      <c r="D3" s="2" t="s">
        <v>1624</v>
      </c>
      <c r="E3" s="2" t="s">
        <v>1596</v>
      </c>
      <c r="F3" s="2" t="s">
        <v>11</v>
      </c>
    </row>
    <row r="4" spans="1:26">
      <c r="A4" s="2" t="s">
        <v>1625</v>
      </c>
      <c r="B4" s="2" t="s">
        <v>1602</v>
      </c>
      <c r="C4" s="2" t="s">
        <v>1626</v>
      </c>
      <c r="D4" s="2" t="s">
        <v>1627</v>
      </c>
      <c r="E4" s="2" t="s">
        <v>1609</v>
      </c>
      <c r="F4" s="2" t="s">
        <v>11</v>
      </c>
    </row>
    <row r="5" spans="1:26">
      <c r="A5" s="2" t="s">
        <v>1628</v>
      </c>
      <c r="B5" s="2" t="s">
        <v>1588</v>
      </c>
      <c r="C5" s="2" t="s">
        <v>1629</v>
      </c>
      <c r="D5" s="2" t="s">
        <v>1630</v>
      </c>
      <c r="E5" s="2" t="s">
        <v>1631</v>
      </c>
      <c r="F5" s="2" t="s">
        <v>11</v>
      </c>
    </row>
    <row r="6" spans="1:26">
      <c r="A6" s="2" t="s">
        <v>1632</v>
      </c>
      <c r="B6" s="2" t="s">
        <v>1633</v>
      </c>
      <c r="C6" s="2" t="s">
        <v>1634</v>
      </c>
      <c r="D6" s="2" t="s">
        <v>1635</v>
      </c>
      <c r="E6" s="2" t="s">
        <v>1636</v>
      </c>
      <c r="F6" s="2" t="s">
        <v>11</v>
      </c>
    </row>
    <row r="7" spans="1:26">
      <c r="A7" s="2" t="s">
        <v>1637</v>
      </c>
      <c r="B7" s="2" t="s">
        <v>1638</v>
      </c>
      <c r="C7" s="2" t="s">
        <v>1639</v>
      </c>
      <c r="D7" s="2" t="s">
        <v>1640</v>
      </c>
      <c r="E7" s="2" t="s">
        <v>1641</v>
      </c>
      <c r="F7" s="2" t="s">
        <v>11</v>
      </c>
    </row>
    <row r="8" spans="1:26">
      <c r="A8" s="2" t="s">
        <v>1642</v>
      </c>
      <c r="B8" s="2" t="s">
        <v>1588</v>
      </c>
      <c r="C8" s="2" t="s">
        <v>1643</v>
      </c>
      <c r="D8" s="2" t="s">
        <v>1644</v>
      </c>
      <c r="E8" s="2" t="s">
        <v>1613</v>
      </c>
      <c r="F8" s="2" t="s">
        <v>11</v>
      </c>
    </row>
    <row r="9" spans="1:26">
      <c r="A9" s="2" t="s">
        <v>1645</v>
      </c>
      <c r="B9" s="2" t="s">
        <v>1615</v>
      </c>
      <c r="C9" s="2" t="s">
        <v>1646</v>
      </c>
      <c r="D9" s="2" t="s">
        <v>77</v>
      </c>
      <c r="E9" s="2" t="s">
        <v>1618</v>
      </c>
      <c r="F9" s="2" t="s">
        <v>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7"/>
  <sheetViews>
    <sheetView workbookViewId="0">
      <selection activeCell="E19" sqref="E19"/>
    </sheetView>
  </sheetViews>
  <sheetFormatPr defaultRowHeight="12.75"/>
  <cols>
    <col min="1" max="1" width="7.5" style="4" bestFit="1" customWidth="1"/>
    <col min="2" max="2" width="9.75" style="4" bestFit="1" customWidth="1"/>
    <col min="3" max="3" width="46" style="4" bestFit="1" customWidth="1"/>
    <col min="4" max="4" width="9.75" style="5" bestFit="1" customWidth="1"/>
    <col min="5" max="5" width="10.875" style="5" bestFit="1" customWidth="1"/>
    <col min="6" max="6" width="13.375" style="4" bestFit="1" customWidth="1"/>
    <col min="7" max="7" width="12" style="4" bestFit="1" customWidth="1"/>
    <col min="8" max="8" width="17.125" style="4" bestFit="1" customWidth="1"/>
    <col min="9" max="9" width="12.625" style="4" bestFit="1" customWidth="1"/>
    <col min="10" max="10" width="16.25" style="4" bestFit="1" customWidth="1"/>
    <col min="11" max="11" width="21.375" style="4" bestFit="1" customWidth="1"/>
    <col min="12" max="16384" width="9" style="4"/>
  </cols>
  <sheetData>
    <row r="1" spans="1:26" ht="15.75">
      <c r="A1" s="10" t="s">
        <v>1647</v>
      </c>
      <c r="B1" s="10" t="s">
        <v>1648</v>
      </c>
      <c r="C1" s="10" t="s">
        <v>1649</v>
      </c>
      <c r="D1" s="11" t="s">
        <v>1650</v>
      </c>
      <c r="E1" s="11" t="s">
        <v>1651</v>
      </c>
      <c r="F1" s="10" t="s">
        <v>1652</v>
      </c>
      <c r="G1" s="10" t="s">
        <v>1653</v>
      </c>
      <c r="H1" s="10" t="s">
        <v>949</v>
      </c>
      <c r="I1" s="10" t="s">
        <v>94</v>
      </c>
      <c r="J1" s="10" t="s">
        <v>1654</v>
      </c>
      <c r="K1" s="10" t="s">
        <v>1655</v>
      </c>
      <c r="L1" s="3"/>
      <c r="M1" s="3"/>
      <c r="N1" s="3"/>
      <c r="O1" s="3"/>
      <c r="P1" s="3"/>
      <c r="Q1" s="3"/>
      <c r="R1" s="3"/>
      <c r="S1" s="3"/>
      <c r="T1" s="3"/>
      <c r="U1" s="3"/>
      <c r="V1" s="3"/>
      <c r="W1" s="3"/>
      <c r="X1" s="3"/>
      <c r="Y1" s="3"/>
      <c r="Z1" s="3"/>
    </row>
    <row r="2" spans="1:26">
      <c r="A2" s="4" t="s">
        <v>106</v>
      </c>
      <c r="B2" s="4" t="s">
        <v>6</v>
      </c>
      <c r="C2" s="4" t="s">
        <v>1656</v>
      </c>
      <c r="D2" s="5">
        <v>46143</v>
      </c>
      <c r="E2" s="5">
        <v>46157</v>
      </c>
      <c r="F2" s="4">
        <f t="shared" ref="F2:F17" si="0">E2-D2</f>
        <v>14</v>
      </c>
      <c r="H2" s="4" t="s">
        <v>1615</v>
      </c>
      <c r="I2" s="4" t="s">
        <v>107</v>
      </c>
      <c r="J2" s="4" t="s">
        <v>6</v>
      </c>
      <c r="K2" s="4" t="s">
        <v>1657</v>
      </c>
    </row>
    <row r="3" spans="1:26">
      <c r="A3" s="4" t="s">
        <v>115</v>
      </c>
      <c r="B3" s="4" t="s">
        <v>6</v>
      </c>
      <c r="C3" s="4" t="s">
        <v>1658</v>
      </c>
      <c r="D3" s="5">
        <v>46157</v>
      </c>
      <c r="E3" s="5">
        <v>46178</v>
      </c>
      <c r="F3" s="4">
        <f t="shared" si="0"/>
        <v>21</v>
      </c>
      <c r="G3" s="4" t="s">
        <v>106</v>
      </c>
      <c r="H3" s="4" t="s">
        <v>1583</v>
      </c>
      <c r="I3" s="4" t="s">
        <v>116</v>
      </c>
      <c r="J3" s="4" t="s">
        <v>6</v>
      </c>
      <c r="K3" s="4" t="s">
        <v>1659</v>
      </c>
    </row>
    <row r="4" spans="1:26">
      <c r="A4" s="4" t="s">
        <v>125</v>
      </c>
      <c r="B4" s="4" t="s">
        <v>10</v>
      </c>
      <c r="C4" s="4" t="s">
        <v>1660</v>
      </c>
      <c r="D4" s="5">
        <v>46178</v>
      </c>
      <c r="E4" s="5">
        <v>46192</v>
      </c>
      <c r="F4" s="4">
        <f t="shared" si="0"/>
        <v>14</v>
      </c>
      <c r="G4" s="4" t="s">
        <v>115</v>
      </c>
      <c r="H4" s="4" t="s">
        <v>1588</v>
      </c>
      <c r="I4" s="4" t="s">
        <v>126</v>
      </c>
      <c r="J4" s="4" t="s">
        <v>10</v>
      </c>
      <c r="K4" s="4" t="s">
        <v>1661</v>
      </c>
    </row>
    <row r="5" spans="1:26">
      <c r="A5" s="4" t="s">
        <v>134</v>
      </c>
      <c r="B5" s="4" t="s">
        <v>14</v>
      </c>
      <c r="C5" s="4" t="s">
        <v>1662</v>
      </c>
      <c r="D5" s="5">
        <v>46192</v>
      </c>
      <c r="E5" s="5">
        <v>46220</v>
      </c>
      <c r="F5" s="4">
        <f t="shared" si="0"/>
        <v>28</v>
      </c>
      <c r="G5" s="4" t="s">
        <v>125</v>
      </c>
      <c r="H5" s="4" t="s">
        <v>1663</v>
      </c>
      <c r="I5" s="4" t="s">
        <v>135</v>
      </c>
      <c r="J5" s="4" t="s">
        <v>14</v>
      </c>
      <c r="K5" s="4" t="s">
        <v>1664</v>
      </c>
    </row>
    <row r="6" spans="1:26">
      <c r="A6" s="4" t="s">
        <v>142</v>
      </c>
      <c r="B6" s="4" t="s">
        <v>17</v>
      </c>
      <c r="C6" s="4" t="s">
        <v>1665</v>
      </c>
      <c r="D6" s="5">
        <v>46220</v>
      </c>
      <c r="E6" s="5">
        <v>46269</v>
      </c>
      <c r="F6" s="4">
        <f t="shared" si="0"/>
        <v>49</v>
      </c>
      <c r="G6" s="4" t="s">
        <v>134</v>
      </c>
      <c r="H6" s="4" t="s">
        <v>1666</v>
      </c>
      <c r="I6" s="4" t="s">
        <v>143</v>
      </c>
      <c r="J6" s="4" t="s">
        <v>17</v>
      </c>
      <c r="K6" s="4" t="s">
        <v>1667</v>
      </c>
    </row>
    <row r="7" spans="1:26">
      <c r="A7" s="4" t="s">
        <v>150</v>
      </c>
      <c r="B7" s="4" t="s">
        <v>17</v>
      </c>
      <c r="C7" s="4" t="s">
        <v>1668</v>
      </c>
      <c r="D7" s="5">
        <v>46269</v>
      </c>
      <c r="E7" s="5">
        <v>46353</v>
      </c>
      <c r="F7" s="4">
        <f t="shared" si="0"/>
        <v>84</v>
      </c>
      <c r="G7" s="4" t="s">
        <v>142</v>
      </c>
      <c r="H7" s="4" t="s">
        <v>1666</v>
      </c>
      <c r="I7" s="4" t="s">
        <v>151</v>
      </c>
      <c r="J7" s="4" t="s">
        <v>17</v>
      </c>
      <c r="K7" s="4" t="s">
        <v>1669</v>
      </c>
    </row>
    <row r="8" spans="1:26">
      <c r="A8" s="4" t="s">
        <v>156</v>
      </c>
      <c r="B8" s="4" t="s">
        <v>17</v>
      </c>
      <c r="C8" s="4" t="s">
        <v>1670</v>
      </c>
      <c r="D8" s="5">
        <v>46303</v>
      </c>
      <c r="E8" s="5">
        <v>46381</v>
      </c>
      <c r="F8" s="4">
        <f t="shared" si="0"/>
        <v>78</v>
      </c>
      <c r="G8" s="4" t="s">
        <v>150</v>
      </c>
      <c r="H8" s="4" t="s">
        <v>1593</v>
      </c>
      <c r="I8" s="4" t="s">
        <v>157</v>
      </c>
      <c r="J8" s="4" t="s">
        <v>17</v>
      </c>
      <c r="K8" s="4" t="s">
        <v>1671</v>
      </c>
    </row>
    <row r="9" spans="1:26">
      <c r="A9" s="4" t="s">
        <v>162</v>
      </c>
      <c r="B9" s="4" t="s">
        <v>20</v>
      </c>
      <c r="C9" s="4" t="s">
        <v>1672</v>
      </c>
      <c r="D9" s="5">
        <v>46353</v>
      </c>
      <c r="E9" s="5">
        <v>46423</v>
      </c>
      <c r="F9" s="4">
        <f t="shared" si="0"/>
        <v>70</v>
      </c>
      <c r="G9" s="4" t="s">
        <v>156</v>
      </c>
      <c r="H9" s="4" t="s">
        <v>1673</v>
      </c>
      <c r="I9" s="4" t="s">
        <v>163</v>
      </c>
      <c r="J9" s="4" t="s">
        <v>20</v>
      </c>
      <c r="K9" s="4" t="s">
        <v>1674</v>
      </c>
    </row>
    <row r="10" spans="1:26">
      <c r="A10" s="4" t="s">
        <v>168</v>
      </c>
      <c r="B10" s="4" t="s">
        <v>23</v>
      </c>
      <c r="C10" s="4" t="s">
        <v>1675</v>
      </c>
      <c r="D10" s="5">
        <v>46423</v>
      </c>
      <c r="E10" s="5">
        <v>46473</v>
      </c>
      <c r="F10" s="4">
        <f t="shared" si="0"/>
        <v>50</v>
      </c>
      <c r="G10" s="4" t="s">
        <v>162</v>
      </c>
      <c r="H10" s="4" t="s">
        <v>1676</v>
      </c>
      <c r="I10" s="4" t="s">
        <v>169</v>
      </c>
      <c r="J10" s="4" t="s">
        <v>23</v>
      </c>
      <c r="K10" s="4" t="s">
        <v>1677</v>
      </c>
    </row>
    <row r="11" spans="1:26">
      <c r="A11" s="4" t="s">
        <v>174</v>
      </c>
      <c r="B11" s="4" t="s">
        <v>23</v>
      </c>
      <c r="C11" s="4" t="s">
        <v>1678</v>
      </c>
      <c r="D11" s="5">
        <v>46473</v>
      </c>
      <c r="E11" s="5">
        <v>46478</v>
      </c>
      <c r="F11" s="4">
        <f t="shared" si="0"/>
        <v>5</v>
      </c>
      <c r="G11" s="4" t="s">
        <v>168</v>
      </c>
      <c r="H11" s="4" t="s">
        <v>1679</v>
      </c>
      <c r="I11" s="4" t="s">
        <v>175</v>
      </c>
      <c r="J11" s="4" t="s">
        <v>23</v>
      </c>
      <c r="K11" s="4" t="s">
        <v>955</v>
      </c>
    </row>
    <row r="12" spans="1:26">
      <c r="A12" s="4" t="s">
        <v>180</v>
      </c>
      <c r="B12" s="4" t="s">
        <v>17</v>
      </c>
      <c r="C12" s="4" t="s">
        <v>1680</v>
      </c>
      <c r="D12" s="5">
        <v>46478</v>
      </c>
      <c r="E12" s="5">
        <v>46563</v>
      </c>
      <c r="F12" s="4">
        <f t="shared" si="0"/>
        <v>85</v>
      </c>
      <c r="G12" s="4" t="s">
        <v>174</v>
      </c>
      <c r="H12" s="4" t="s">
        <v>1681</v>
      </c>
      <c r="I12" s="4" t="s">
        <v>181</v>
      </c>
      <c r="J12" s="4" t="s">
        <v>17</v>
      </c>
      <c r="K12" s="4" t="s">
        <v>1682</v>
      </c>
    </row>
    <row r="13" spans="1:26">
      <c r="A13" s="4" t="s">
        <v>186</v>
      </c>
      <c r="B13" s="4" t="s">
        <v>20</v>
      </c>
      <c r="C13" s="4" t="s">
        <v>1683</v>
      </c>
      <c r="D13" s="5">
        <v>46563</v>
      </c>
      <c r="E13" s="5">
        <v>46623</v>
      </c>
      <c r="F13" s="4">
        <f t="shared" si="0"/>
        <v>60</v>
      </c>
      <c r="G13" s="4" t="s">
        <v>180</v>
      </c>
      <c r="H13" s="4" t="s">
        <v>1602</v>
      </c>
      <c r="I13" s="4" t="s">
        <v>187</v>
      </c>
      <c r="J13" s="4" t="s">
        <v>20</v>
      </c>
      <c r="K13" s="4" t="s">
        <v>1684</v>
      </c>
    </row>
    <row r="14" spans="1:26">
      <c r="A14" s="4" t="s">
        <v>192</v>
      </c>
      <c r="B14" s="4" t="s">
        <v>23</v>
      </c>
      <c r="C14" s="4" t="s">
        <v>1685</v>
      </c>
      <c r="D14" s="5">
        <v>46623</v>
      </c>
      <c r="E14" s="5">
        <v>46663</v>
      </c>
      <c r="F14" s="4">
        <f t="shared" si="0"/>
        <v>40</v>
      </c>
      <c r="G14" s="4" t="s">
        <v>186</v>
      </c>
      <c r="H14" s="4" t="s">
        <v>1676</v>
      </c>
      <c r="I14" s="4" t="s">
        <v>193</v>
      </c>
      <c r="J14" s="4" t="s">
        <v>23</v>
      </c>
      <c r="K14" s="4" t="s">
        <v>1686</v>
      </c>
    </row>
    <row r="15" spans="1:26">
      <c r="A15" s="4" t="s">
        <v>198</v>
      </c>
      <c r="B15" s="4" t="s">
        <v>23</v>
      </c>
      <c r="C15" s="4" t="s">
        <v>1687</v>
      </c>
      <c r="D15" s="5">
        <v>46663</v>
      </c>
      <c r="E15" s="5">
        <v>46668</v>
      </c>
      <c r="F15" s="4">
        <f t="shared" si="0"/>
        <v>5</v>
      </c>
      <c r="G15" s="4" t="s">
        <v>192</v>
      </c>
      <c r="H15" s="4" t="s">
        <v>1679</v>
      </c>
      <c r="I15" s="4" t="s">
        <v>199</v>
      </c>
      <c r="J15" s="4" t="s">
        <v>23</v>
      </c>
      <c r="K15" s="4" t="s">
        <v>963</v>
      </c>
    </row>
    <row r="16" spans="1:26">
      <c r="A16" s="4" t="s">
        <v>204</v>
      </c>
      <c r="B16" s="4" t="s">
        <v>27</v>
      </c>
      <c r="C16" s="4" t="s">
        <v>1688</v>
      </c>
      <c r="D16" s="5">
        <v>46668</v>
      </c>
      <c r="E16" s="5">
        <v>46703</v>
      </c>
      <c r="F16" s="4">
        <f t="shared" si="0"/>
        <v>35</v>
      </c>
      <c r="G16" s="4" t="s">
        <v>198</v>
      </c>
      <c r="H16" s="4" t="s">
        <v>1689</v>
      </c>
      <c r="I16" s="4" t="s">
        <v>205</v>
      </c>
      <c r="J16" s="4" t="s">
        <v>27</v>
      </c>
      <c r="K16" s="4" t="s">
        <v>1690</v>
      </c>
    </row>
    <row r="17" spans="1:11">
      <c r="A17" s="4" t="s">
        <v>210</v>
      </c>
      <c r="B17" s="4" t="s">
        <v>27</v>
      </c>
      <c r="C17" s="4" t="s">
        <v>1691</v>
      </c>
      <c r="D17" s="5">
        <v>46703</v>
      </c>
      <c r="E17" s="5">
        <v>46873</v>
      </c>
      <c r="F17" s="4">
        <f t="shared" si="0"/>
        <v>170</v>
      </c>
      <c r="G17" s="4" t="s">
        <v>204</v>
      </c>
      <c r="H17" s="4" t="s">
        <v>1692</v>
      </c>
      <c r="I17" s="4" t="s">
        <v>211</v>
      </c>
      <c r="J17" s="4" t="s">
        <v>27</v>
      </c>
      <c r="K17" s="4" t="s">
        <v>1693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7"/>
  <sheetViews>
    <sheetView workbookViewId="0">
      <selection activeCell="J2" sqref="J2"/>
    </sheetView>
  </sheetViews>
  <sheetFormatPr defaultRowHeight="12.75"/>
  <cols>
    <col min="1" max="1" width="10.125" style="4" customWidth="1"/>
    <col min="2" max="2" width="30.875" style="4" bestFit="1" customWidth="1"/>
    <col min="3" max="3" width="17.625" style="4" customWidth="1"/>
    <col min="4" max="4" width="14.5" style="4" customWidth="1"/>
    <col min="5" max="5" width="10.125" style="4" customWidth="1"/>
    <col min="6" max="6" width="8.75" style="4" customWidth="1"/>
    <col min="7" max="7" width="12.125" style="4" customWidth="1"/>
    <col min="8" max="8" width="15.625" style="4" customWidth="1"/>
    <col min="9" max="9" width="13.375" style="4" customWidth="1"/>
    <col min="10" max="10" width="31.375" style="4" customWidth="1"/>
    <col min="11" max="16384" width="9" style="4"/>
  </cols>
  <sheetData>
    <row r="1" spans="1:26" ht="31.5">
      <c r="A1" s="10" t="s">
        <v>1694</v>
      </c>
      <c r="B1" s="10" t="s">
        <v>1695</v>
      </c>
      <c r="C1" s="10" t="s">
        <v>1696</v>
      </c>
      <c r="D1" s="10" t="s">
        <v>93</v>
      </c>
      <c r="E1" s="10" t="s">
        <v>2</v>
      </c>
      <c r="F1" s="10" t="s">
        <v>1697</v>
      </c>
      <c r="G1" s="10" t="s">
        <v>1698</v>
      </c>
      <c r="H1" s="10" t="s">
        <v>1699</v>
      </c>
      <c r="I1" s="10" t="s">
        <v>1700</v>
      </c>
      <c r="J1" s="10" t="s">
        <v>1701</v>
      </c>
      <c r="K1" s="3"/>
      <c r="L1" s="3"/>
      <c r="M1" s="3"/>
      <c r="N1" s="3"/>
      <c r="O1" s="3"/>
      <c r="P1" s="3"/>
      <c r="Q1" s="3"/>
      <c r="R1" s="3"/>
      <c r="S1" s="3"/>
      <c r="T1" s="3"/>
      <c r="U1" s="3"/>
      <c r="V1" s="3"/>
      <c r="W1" s="3"/>
      <c r="X1" s="3"/>
      <c r="Y1" s="3"/>
      <c r="Z1" s="3"/>
    </row>
    <row r="2" spans="1:26">
      <c r="A2" s="4" t="s">
        <v>107</v>
      </c>
      <c r="B2" s="27" t="s">
        <v>1702</v>
      </c>
      <c r="C2" s="27" t="s">
        <v>1703</v>
      </c>
      <c r="D2" s="27" t="s">
        <v>106</v>
      </c>
      <c r="E2" s="27" t="s">
        <v>6</v>
      </c>
      <c r="F2" s="27" t="s">
        <v>955</v>
      </c>
      <c r="G2" s="4" t="s">
        <v>1704</v>
      </c>
      <c r="H2" s="4" t="s">
        <v>1705</v>
      </c>
      <c r="I2" s="4" t="s">
        <v>1588</v>
      </c>
      <c r="J2" s="4" t="s">
        <v>1706</v>
      </c>
    </row>
    <row r="3" spans="1:26">
      <c r="A3" s="4" t="s">
        <v>116</v>
      </c>
      <c r="B3" s="27" t="s">
        <v>1586</v>
      </c>
      <c r="C3" s="27" t="s">
        <v>1707</v>
      </c>
      <c r="D3" s="27" t="s">
        <v>115</v>
      </c>
      <c r="E3" s="27" t="s">
        <v>6</v>
      </c>
      <c r="F3" s="27" t="s">
        <v>955</v>
      </c>
      <c r="G3" s="4" t="s">
        <v>1708</v>
      </c>
      <c r="H3" s="4" t="s">
        <v>1705</v>
      </c>
      <c r="I3" s="4" t="s">
        <v>1583</v>
      </c>
      <c r="J3" s="4" t="s">
        <v>1709</v>
      </c>
    </row>
    <row r="4" spans="1:26">
      <c r="A4" s="4" t="s">
        <v>126</v>
      </c>
      <c r="B4" s="27" t="s">
        <v>55</v>
      </c>
      <c r="C4" s="27" t="s">
        <v>1710</v>
      </c>
      <c r="D4" s="27" t="s">
        <v>125</v>
      </c>
      <c r="E4" s="27" t="s">
        <v>10</v>
      </c>
      <c r="F4" s="27" t="s">
        <v>955</v>
      </c>
      <c r="G4" s="4" t="s">
        <v>1711</v>
      </c>
      <c r="H4" s="4" t="s">
        <v>1705</v>
      </c>
      <c r="I4" s="4" t="s">
        <v>1588</v>
      </c>
      <c r="J4" s="4" t="s">
        <v>1712</v>
      </c>
    </row>
    <row r="5" spans="1:26">
      <c r="A5" s="4" t="s">
        <v>135</v>
      </c>
      <c r="B5" s="27" t="s">
        <v>1713</v>
      </c>
      <c r="C5" s="27" t="s">
        <v>1714</v>
      </c>
      <c r="D5" s="27" t="s">
        <v>134</v>
      </c>
      <c r="E5" s="27" t="s">
        <v>14</v>
      </c>
      <c r="F5" s="27" t="s">
        <v>955</v>
      </c>
      <c r="G5" s="4" t="s">
        <v>1715</v>
      </c>
      <c r="H5" s="4" t="s">
        <v>1705</v>
      </c>
      <c r="I5" s="4" t="s">
        <v>1588</v>
      </c>
      <c r="J5" s="4" t="s">
        <v>1716</v>
      </c>
    </row>
    <row r="6" spans="1:26">
      <c r="A6" s="4" t="s">
        <v>143</v>
      </c>
      <c r="B6" s="27" t="s">
        <v>1717</v>
      </c>
      <c r="C6" s="27" t="s">
        <v>1591</v>
      </c>
      <c r="D6" s="27" t="s">
        <v>142</v>
      </c>
      <c r="E6" s="27" t="s">
        <v>17</v>
      </c>
      <c r="F6" s="27" t="s">
        <v>1718</v>
      </c>
      <c r="G6" s="4" t="s">
        <v>1719</v>
      </c>
      <c r="H6" s="4" t="s">
        <v>1720</v>
      </c>
      <c r="I6" s="4" t="s">
        <v>1588</v>
      </c>
      <c r="J6" s="4" t="s">
        <v>1721</v>
      </c>
    </row>
    <row r="7" spans="1:26">
      <c r="A7" s="4" t="s">
        <v>151</v>
      </c>
      <c r="B7" s="27" t="s">
        <v>1722</v>
      </c>
      <c r="C7" s="27" t="s">
        <v>1707</v>
      </c>
      <c r="D7" s="27" t="s">
        <v>150</v>
      </c>
      <c r="E7" s="27" t="s">
        <v>17</v>
      </c>
      <c r="F7" s="27" t="s">
        <v>1718</v>
      </c>
      <c r="G7" s="4" t="s">
        <v>1723</v>
      </c>
      <c r="H7" s="4" t="s">
        <v>1705</v>
      </c>
      <c r="I7" s="4" t="s">
        <v>1724</v>
      </c>
      <c r="J7" s="4" t="s">
        <v>1725</v>
      </c>
    </row>
    <row r="8" spans="1:26">
      <c r="A8" s="4" t="s">
        <v>157</v>
      </c>
      <c r="B8" s="27" t="s">
        <v>1726</v>
      </c>
      <c r="C8" s="27" t="s">
        <v>1727</v>
      </c>
      <c r="D8" s="27" t="s">
        <v>156</v>
      </c>
      <c r="E8" s="27" t="s">
        <v>17</v>
      </c>
      <c r="F8" s="27" t="s">
        <v>1718</v>
      </c>
      <c r="G8" s="4" t="s">
        <v>1728</v>
      </c>
      <c r="H8" s="4" t="s">
        <v>1720</v>
      </c>
      <c r="I8" s="4" t="s">
        <v>1593</v>
      </c>
      <c r="J8" s="4" t="s">
        <v>1729</v>
      </c>
    </row>
    <row r="9" spans="1:26">
      <c r="A9" s="4" t="s">
        <v>163</v>
      </c>
      <c r="B9" s="27" t="s">
        <v>1730</v>
      </c>
      <c r="C9" s="27" t="s">
        <v>1605</v>
      </c>
      <c r="D9" s="27" t="s">
        <v>162</v>
      </c>
      <c r="E9" s="27" t="s">
        <v>20</v>
      </c>
      <c r="F9" s="27" t="s">
        <v>955</v>
      </c>
      <c r="G9" s="4" t="s">
        <v>1731</v>
      </c>
      <c r="H9" s="4" t="s">
        <v>1705</v>
      </c>
      <c r="I9" s="4" t="s">
        <v>1602</v>
      </c>
      <c r="J9" s="4" t="s">
        <v>1732</v>
      </c>
    </row>
    <row r="10" spans="1:26">
      <c r="A10" s="4" t="s">
        <v>169</v>
      </c>
      <c r="B10" s="27" t="s">
        <v>1733</v>
      </c>
      <c r="C10" s="27" t="s">
        <v>1609</v>
      </c>
      <c r="D10" s="27" t="s">
        <v>168</v>
      </c>
      <c r="E10" s="27" t="s">
        <v>20</v>
      </c>
      <c r="F10" s="27" t="s">
        <v>955</v>
      </c>
      <c r="G10" s="4" t="s">
        <v>1734</v>
      </c>
      <c r="H10" s="4" t="s">
        <v>1705</v>
      </c>
      <c r="I10" s="4" t="s">
        <v>1602</v>
      </c>
      <c r="J10" s="4" t="s">
        <v>1735</v>
      </c>
    </row>
    <row r="11" spans="1:26">
      <c r="A11" s="4" t="s">
        <v>175</v>
      </c>
      <c r="B11" s="27" t="s">
        <v>1736</v>
      </c>
      <c r="C11" s="27" t="s">
        <v>1618</v>
      </c>
      <c r="D11" s="27" t="s">
        <v>174</v>
      </c>
      <c r="E11" s="27" t="s">
        <v>23</v>
      </c>
      <c r="F11" s="27" t="s">
        <v>955</v>
      </c>
      <c r="G11" s="4" t="s">
        <v>26</v>
      </c>
      <c r="H11" s="4" t="s">
        <v>1737</v>
      </c>
      <c r="I11" s="4" t="s">
        <v>1615</v>
      </c>
      <c r="J11" s="4" t="s">
        <v>1738</v>
      </c>
    </row>
    <row r="12" spans="1:26">
      <c r="A12" s="4" t="s">
        <v>181</v>
      </c>
      <c r="B12" s="28" t="s">
        <v>1739</v>
      </c>
      <c r="C12" s="28" t="s">
        <v>1613</v>
      </c>
      <c r="D12" s="28" t="s">
        <v>180</v>
      </c>
      <c r="E12" s="28" t="s">
        <v>17</v>
      </c>
      <c r="F12" s="28" t="s">
        <v>963</v>
      </c>
      <c r="G12" s="4" t="s">
        <v>1740</v>
      </c>
      <c r="H12" s="4" t="s">
        <v>1741</v>
      </c>
      <c r="I12" s="4" t="s">
        <v>1588</v>
      </c>
      <c r="J12" s="4" t="s">
        <v>1742</v>
      </c>
    </row>
    <row r="13" spans="1:26">
      <c r="A13" s="4" t="s">
        <v>187</v>
      </c>
      <c r="B13" s="28" t="s">
        <v>1743</v>
      </c>
      <c r="C13" s="28" t="s">
        <v>1609</v>
      </c>
      <c r="D13" s="28" t="s">
        <v>186</v>
      </c>
      <c r="E13" s="28" t="s">
        <v>20</v>
      </c>
      <c r="F13" s="28" t="s">
        <v>963</v>
      </c>
      <c r="G13" s="4" t="s">
        <v>1744</v>
      </c>
      <c r="H13" s="4" t="s">
        <v>1705</v>
      </c>
      <c r="I13" s="4" t="s">
        <v>1602</v>
      </c>
      <c r="J13" s="4" t="s">
        <v>1745</v>
      </c>
    </row>
    <row r="14" spans="1:26">
      <c r="A14" s="4" t="s">
        <v>193</v>
      </c>
      <c r="B14" s="28" t="s">
        <v>1746</v>
      </c>
      <c r="C14" s="28" t="s">
        <v>1631</v>
      </c>
      <c r="D14" s="28" t="s">
        <v>192</v>
      </c>
      <c r="E14" s="28" t="s">
        <v>27</v>
      </c>
      <c r="F14" s="28" t="s">
        <v>963</v>
      </c>
      <c r="G14" s="4" t="s">
        <v>1747</v>
      </c>
      <c r="H14" s="4" t="s">
        <v>1748</v>
      </c>
      <c r="I14" s="4" t="s">
        <v>1588</v>
      </c>
      <c r="J14" s="4" t="s">
        <v>1749</v>
      </c>
    </row>
    <row r="15" spans="1:26">
      <c r="A15" s="4" t="s">
        <v>199</v>
      </c>
      <c r="B15" s="28" t="s">
        <v>1750</v>
      </c>
      <c r="C15" s="28" t="s">
        <v>1618</v>
      </c>
      <c r="D15" s="28" t="s">
        <v>198</v>
      </c>
      <c r="E15" s="28" t="s">
        <v>23</v>
      </c>
      <c r="F15" s="28" t="s">
        <v>963</v>
      </c>
      <c r="G15" s="4" t="s">
        <v>30</v>
      </c>
      <c r="H15" s="4" t="s">
        <v>1737</v>
      </c>
      <c r="I15" s="4" t="s">
        <v>1615</v>
      </c>
      <c r="J15" s="4" t="s">
        <v>1751</v>
      </c>
    </row>
    <row r="16" spans="1:26">
      <c r="A16" s="4" t="s">
        <v>205</v>
      </c>
      <c r="B16" s="28" t="s">
        <v>1752</v>
      </c>
      <c r="C16" s="28" t="s">
        <v>1753</v>
      </c>
      <c r="D16" s="28" t="s">
        <v>204</v>
      </c>
      <c r="E16" s="28" t="s">
        <v>27</v>
      </c>
      <c r="F16" s="28" t="s">
        <v>963</v>
      </c>
      <c r="G16" s="4" t="s">
        <v>1754</v>
      </c>
      <c r="H16" s="4" t="s">
        <v>1755</v>
      </c>
      <c r="I16" s="4" t="s">
        <v>1593</v>
      </c>
      <c r="J16" s="4" t="s">
        <v>1756</v>
      </c>
    </row>
    <row r="17" spans="1:10">
      <c r="A17" s="4" t="s">
        <v>211</v>
      </c>
      <c r="B17" s="28" t="s">
        <v>1757</v>
      </c>
      <c r="C17" s="28" t="s">
        <v>1758</v>
      </c>
      <c r="D17" s="28" t="s">
        <v>210</v>
      </c>
      <c r="E17" s="28" t="s">
        <v>27</v>
      </c>
      <c r="F17" s="28" t="s">
        <v>963</v>
      </c>
      <c r="G17" s="4" t="s">
        <v>1759</v>
      </c>
      <c r="H17" s="4" t="s">
        <v>1741</v>
      </c>
      <c r="I17" s="4" t="s">
        <v>1588</v>
      </c>
      <c r="J17" s="4" t="s">
        <v>1760</v>
      </c>
    </row>
  </sheetData>
  <autoFilter ref="A1:J1" xr:uid="{00000000-0001-0000-0A00-000000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78"/>
  <sheetViews>
    <sheetView workbookViewId="0">
      <selection activeCell="N67" sqref="N67"/>
    </sheetView>
  </sheetViews>
  <sheetFormatPr defaultRowHeight="12.75"/>
  <cols>
    <col min="1" max="1" width="8.125" style="17" customWidth="1"/>
    <col min="2" max="2" width="11" style="17" customWidth="1"/>
    <col min="3" max="3" width="10.875" style="17" bestFit="1" customWidth="1"/>
    <col min="4" max="4" width="63.875" style="4" bestFit="1" customWidth="1"/>
    <col min="5" max="5" width="45.125" style="4" bestFit="1" customWidth="1"/>
    <col min="6" max="6" width="9.25" style="17" customWidth="1"/>
    <col min="7" max="7" width="9.625" style="17" customWidth="1"/>
    <col min="8" max="8" width="10.125" style="17" customWidth="1"/>
    <col min="9" max="9" width="11.5" style="17" customWidth="1"/>
    <col min="10" max="10" width="51.375" style="4" bestFit="1" customWidth="1"/>
    <col min="11" max="11" width="9.875" style="4" customWidth="1"/>
    <col min="12" max="12" width="10.75" style="16" customWidth="1"/>
    <col min="13" max="13" width="9.625" style="4" customWidth="1"/>
    <col min="14" max="14" width="18" style="4" customWidth="1"/>
    <col min="15" max="16384" width="9" style="4"/>
  </cols>
  <sheetData>
    <row r="1" spans="1:26" s="9" customFormat="1" ht="31.5">
      <c r="A1" s="10" t="s">
        <v>1761</v>
      </c>
      <c r="B1" s="10" t="s">
        <v>944</v>
      </c>
      <c r="C1" s="10" t="s">
        <v>1762</v>
      </c>
      <c r="D1" s="10" t="s">
        <v>1763</v>
      </c>
      <c r="E1" s="10" t="s">
        <v>1764</v>
      </c>
      <c r="F1" s="10" t="s">
        <v>1765</v>
      </c>
      <c r="G1" s="10" t="s">
        <v>1766</v>
      </c>
      <c r="H1" s="10" t="s">
        <v>1767</v>
      </c>
      <c r="I1" s="10" t="s">
        <v>1768</v>
      </c>
      <c r="J1" s="10" t="s">
        <v>1769</v>
      </c>
      <c r="K1" s="10" t="s">
        <v>949</v>
      </c>
      <c r="L1" s="11" t="s">
        <v>950</v>
      </c>
      <c r="M1" s="10" t="s">
        <v>3</v>
      </c>
      <c r="N1" s="8"/>
      <c r="O1" s="8"/>
      <c r="P1" s="8"/>
      <c r="Q1" s="8"/>
      <c r="R1" s="8"/>
      <c r="S1" s="8"/>
      <c r="T1" s="8"/>
      <c r="U1" s="8"/>
      <c r="V1" s="8"/>
      <c r="W1" s="8"/>
      <c r="X1" s="8"/>
      <c r="Y1" s="8"/>
      <c r="Z1" s="8"/>
    </row>
    <row r="2" spans="1:26">
      <c r="A2" s="17" t="s">
        <v>108</v>
      </c>
      <c r="B2" s="17" t="s">
        <v>97</v>
      </c>
      <c r="C2" s="17" t="s">
        <v>930</v>
      </c>
      <c r="D2" s="4" t="s">
        <v>1770</v>
      </c>
      <c r="E2" s="4" t="s">
        <v>1771</v>
      </c>
      <c r="F2" s="17">
        <v>4</v>
      </c>
      <c r="G2" s="17">
        <v>3</v>
      </c>
      <c r="H2" s="17">
        <f t="shared" ref="H2:H33" si="0">F2*G2</f>
        <v>12</v>
      </c>
      <c r="I2" s="17" t="str">
        <f t="shared" ref="I2:I33" si="1">IF(H2&gt;=20,"Critical",IF(H2&gt;=12,"High",IF(H2&gt;=6,"Medium","Low")))</f>
        <v>High</v>
      </c>
      <c r="J2" s="4" t="s">
        <v>1772</v>
      </c>
      <c r="K2" s="4" t="s">
        <v>1773</v>
      </c>
      <c r="L2" s="16">
        <v>46195</v>
      </c>
      <c r="M2" s="4" t="s">
        <v>1332</v>
      </c>
    </row>
    <row r="3" spans="1:26">
      <c r="A3" s="17" t="s">
        <v>117</v>
      </c>
      <c r="B3" s="17" t="s">
        <v>109</v>
      </c>
      <c r="C3" s="17" t="s">
        <v>932</v>
      </c>
      <c r="D3" s="4" t="s">
        <v>1774</v>
      </c>
      <c r="E3" s="4" t="s">
        <v>1771</v>
      </c>
      <c r="F3" s="17">
        <v>3</v>
      </c>
      <c r="G3" s="17">
        <v>2</v>
      </c>
      <c r="H3" s="17">
        <f t="shared" si="0"/>
        <v>6</v>
      </c>
      <c r="I3" s="17" t="str">
        <f t="shared" si="1"/>
        <v>Medium</v>
      </c>
      <c r="J3" s="4" t="s">
        <v>1772</v>
      </c>
      <c r="K3" s="4" t="s">
        <v>1773</v>
      </c>
      <c r="L3" s="16">
        <v>46202</v>
      </c>
      <c r="M3" s="4" t="s">
        <v>1332</v>
      </c>
    </row>
    <row r="4" spans="1:26">
      <c r="A4" s="17" t="s">
        <v>127</v>
      </c>
      <c r="B4" s="17" t="s">
        <v>118</v>
      </c>
      <c r="C4" s="17" t="s">
        <v>928</v>
      </c>
      <c r="D4" s="4" t="s">
        <v>1775</v>
      </c>
      <c r="E4" s="4" t="s">
        <v>1771</v>
      </c>
      <c r="F4" s="17">
        <v>2</v>
      </c>
      <c r="G4" s="17">
        <v>5</v>
      </c>
      <c r="H4" s="17">
        <f t="shared" si="0"/>
        <v>10</v>
      </c>
      <c r="I4" s="17" t="str">
        <f t="shared" si="1"/>
        <v>Medium</v>
      </c>
      <c r="J4" s="4" t="s">
        <v>1772</v>
      </c>
      <c r="K4" s="4" t="s">
        <v>1773</v>
      </c>
      <c r="L4" s="16">
        <v>46209</v>
      </c>
      <c r="M4" s="4" t="s">
        <v>1332</v>
      </c>
    </row>
    <row r="5" spans="1:26">
      <c r="A5" s="17" t="s">
        <v>136</v>
      </c>
      <c r="B5" s="17" t="s">
        <v>128</v>
      </c>
      <c r="C5" s="17" t="s">
        <v>867</v>
      </c>
      <c r="D5" s="4" t="s">
        <v>1776</v>
      </c>
      <c r="E5" s="4" t="s">
        <v>1771</v>
      </c>
      <c r="F5" s="17">
        <v>5</v>
      </c>
      <c r="G5" s="17">
        <v>3</v>
      </c>
      <c r="H5" s="17">
        <f t="shared" si="0"/>
        <v>15</v>
      </c>
      <c r="I5" s="17" t="str">
        <f t="shared" si="1"/>
        <v>High</v>
      </c>
      <c r="J5" s="4" t="s">
        <v>1772</v>
      </c>
      <c r="K5" s="4" t="s">
        <v>1773</v>
      </c>
      <c r="L5" s="16">
        <v>46216</v>
      </c>
      <c r="M5" s="4" t="s">
        <v>1332</v>
      </c>
    </row>
    <row r="6" spans="1:26">
      <c r="A6" s="17" t="s">
        <v>144</v>
      </c>
      <c r="B6" s="17" t="s">
        <v>137</v>
      </c>
      <c r="C6" s="17" t="s">
        <v>939</v>
      </c>
      <c r="D6" s="4" t="s">
        <v>1777</v>
      </c>
      <c r="E6" s="4" t="s">
        <v>1771</v>
      </c>
      <c r="F6" s="17">
        <v>4</v>
      </c>
      <c r="G6" s="17">
        <v>4</v>
      </c>
      <c r="H6" s="17">
        <f t="shared" si="0"/>
        <v>16</v>
      </c>
      <c r="I6" s="17" t="str">
        <f t="shared" si="1"/>
        <v>High</v>
      </c>
      <c r="J6" s="4" t="s">
        <v>1772</v>
      </c>
      <c r="K6" s="4" t="s">
        <v>1773</v>
      </c>
      <c r="L6" s="16">
        <v>46223</v>
      </c>
      <c r="M6" s="4" t="s">
        <v>1332</v>
      </c>
    </row>
    <row r="7" spans="1:26">
      <c r="A7" s="17" t="s">
        <v>152</v>
      </c>
      <c r="B7" s="17" t="s">
        <v>145</v>
      </c>
      <c r="C7" s="17" t="s">
        <v>880</v>
      </c>
      <c r="D7" s="4" t="s">
        <v>1778</v>
      </c>
      <c r="E7" s="4" t="s">
        <v>1771</v>
      </c>
      <c r="F7" s="17">
        <v>3</v>
      </c>
      <c r="G7" s="17">
        <v>3</v>
      </c>
      <c r="H7" s="17">
        <f t="shared" si="0"/>
        <v>9</v>
      </c>
      <c r="I7" s="17" t="str">
        <f t="shared" si="1"/>
        <v>Medium</v>
      </c>
      <c r="J7" s="4" t="s">
        <v>1772</v>
      </c>
      <c r="K7" s="4" t="s">
        <v>1773</v>
      </c>
      <c r="L7" s="16">
        <v>46230</v>
      </c>
      <c r="M7" s="4" t="s">
        <v>1332</v>
      </c>
    </row>
    <row r="8" spans="1:26">
      <c r="A8" s="17" t="s">
        <v>158</v>
      </c>
      <c r="B8" s="17" t="s">
        <v>153</v>
      </c>
      <c r="C8" s="17" t="s">
        <v>930</v>
      </c>
      <c r="D8" s="4" t="s">
        <v>1779</v>
      </c>
      <c r="E8" s="4" t="s">
        <v>1771</v>
      </c>
      <c r="F8" s="17">
        <v>2</v>
      </c>
      <c r="G8" s="17">
        <v>2</v>
      </c>
      <c r="H8" s="17">
        <f t="shared" si="0"/>
        <v>4</v>
      </c>
      <c r="I8" s="17" t="str">
        <f t="shared" si="1"/>
        <v>Low</v>
      </c>
      <c r="J8" s="4" t="s">
        <v>1772</v>
      </c>
      <c r="K8" s="4" t="s">
        <v>1773</v>
      </c>
      <c r="L8" s="16">
        <v>46237</v>
      </c>
      <c r="M8" s="4" t="s">
        <v>1348</v>
      </c>
    </row>
    <row r="9" spans="1:26">
      <c r="A9" s="17" t="s">
        <v>164</v>
      </c>
      <c r="B9" s="17" t="s">
        <v>159</v>
      </c>
      <c r="C9" s="17" t="s">
        <v>932</v>
      </c>
      <c r="D9" s="4" t="s">
        <v>1780</v>
      </c>
      <c r="E9" s="4" t="s">
        <v>1771</v>
      </c>
      <c r="F9" s="17">
        <v>5</v>
      </c>
      <c r="G9" s="17">
        <v>5</v>
      </c>
      <c r="H9" s="17">
        <f t="shared" si="0"/>
        <v>25</v>
      </c>
      <c r="I9" s="17" t="str">
        <f t="shared" si="1"/>
        <v>Critical</v>
      </c>
      <c r="J9" s="4" t="s">
        <v>1772</v>
      </c>
      <c r="K9" s="4" t="s">
        <v>1773</v>
      </c>
      <c r="L9" s="16">
        <v>46244</v>
      </c>
      <c r="M9" s="4" t="s">
        <v>1332</v>
      </c>
    </row>
    <row r="10" spans="1:26">
      <c r="A10" s="17" t="s">
        <v>170</v>
      </c>
      <c r="B10" s="17" t="s">
        <v>165</v>
      </c>
      <c r="C10" s="17" t="s">
        <v>928</v>
      </c>
      <c r="D10" s="4" t="s">
        <v>1781</v>
      </c>
      <c r="E10" s="4" t="s">
        <v>1771</v>
      </c>
      <c r="F10" s="17">
        <v>4</v>
      </c>
      <c r="G10" s="17">
        <v>3</v>
      </c>
      <c r="H10" s="17">
        <f t="shared" si="0"/>
        <v>12</v>
      </c>
      <c r="I10" s="17" t="str">
        <f t="shared" si="1"/>
        <v>High</v>
      </c>
      <c r="J10" s="4" t="s">
        <v>1772</v>
      </c>
      <c r="K10" s="4" t="s">
        <v>1773</v>
      </c>
      <c r="L10" s="16">
        <v>46251</v>
      </c>
      <c r="M10" s="4" t="s">
        <v>1332</v>
      </c>
    </row>
    <row r="11" spans="1:26">
      <c r="A11" s="17" t="s">
        <v>176</v>
      </c>
      <c r="B11" s="17" t="s">
        <v>171</v>
      </c>
      <c r="C11" s="17" t="s">
        <v>867</v>
      </c>
      <c r="D11" s="4" t="s">
        <v>1782</v>
      </c>
      <c r="E11" s="4" t="s">
        <v>1771</v>
      </c>
      <c r="F11" s="17">
        <v>3</v>
      </c>
      <c r="G11" s="17">
        <v>4</v>
      </c>
      <c r="H11" s="17">
        <f t="shared" si="0"/>
        <v>12</v>
      </c>
      <c r="I11" s="17" t="str">
        <f t="shared" si="1"/>
        <v>High</v>
      </c>
      <c r="J11" s="4" t="s">
        <v>1772</v>
      </c>
      <c r="K11" s="4" t="s">
        <v>1773</v>
      </c>
      <c r="L11" s="16">
        <v>46258</v>
      </c>
      <c r="M11" s="4" t="s">
        <v>1332</v>
      </c>
    </row>
    <row r="12" spans="1:26">
      <c r="A12" s="17" t="s">
        <v>182</v>
      </c>
      <c r="B12" s="17" t="s">
        <v>177</v>
      </c>
      <c r="C12" s="17" t="s">
        <v>939</v>
      </c>
      <c r="D12" s="4" t="s">
        <v>1783</v>
      </c>
      <c r="E12" s="4" t="s">
        <v>1771</v>
      </c>
      <c r="F12" s="17">
        <v>2</v>
      </c>
      <c r="G12" s="17">
        <v>3</v>
      </c>
      <c r="H12" s="17">
        <f t="shared" si="0"/>
        <v>6</v>
      </c>
      <c r="I12" s="17" t="str">
        <f t="shared" si="1"/>
        <v>Medium</v>
      </c>
      <c r="J12" s="4" t="s">
        <v>1772</v>
      </c>
      <c r="K12" s="4" t="s">
        <v>1773</v>
      </c>
      <c r="L12" s="16">
        <v>46265</v>
      </c>
      <c r="M12" s="4" t="s">
        <v>1332</v>
      </c>
    </row>
    <row r="13" spans="1:26">
      <c r="A13" s="17" t="s">
        <v>188</v>
      </c>
      <c r="B13" s="17" t="s">
        <v>183</v>
      </c>
      <c r="C13" s="17" t="s">
        <v>880</v>
      </c>
      <c r="D13" s="4" t="s">
        <v>1784</v>
      </c>
      <c r="E13" s="4" t="s">
        <v>1771</v>
      </c>
      <c r="F13" s="17">
        <v>5</v>
      </c>
      <c r="G13" s="17">
        <v>2</v>
      </c>
      <c r="H13" s="17">
        <f t="shared" si="0"/>
        <v>10</v>
      </c>
      <c r="I13" s="17" t="str">
        <f t="shared" si="1"/>
        <v>Medium</v>
      </c>
      <c r="J13" s="4" t="s">
        <v>1772</v>
      </c>
      <c r="K13" s="4" t="s">
        <v>1773</v>
      </c>
      <c r="L13" s="16">
        <v>46272</v>
      </c>
      <c r="M13" s="4" t="s">
        <v>1332</v>
      </c>
    </row>
    <row r="14" spans="1:26">
      <c r="A14" s="17" t="s">
        <v>194</v>
      </c>
      <c r="B14" s="17" t="s">
        <v>189</v>
      </c>
      <c r="C14" s="17" t="s">
        <v>930</v>
      </c>
      <c r="D14" s="4" t="s">
        <v>1785</v>
      </c>
      <c r="E14" s="4" t="s">
        <v>1771</v>
      </c>
      <c r="F14" s="17">
        <v>4</v>
      </c>
      <c r="G14" s="17">
        <v>5</v>
      </c>
      <c r="H14" s="17">
        <f t="shared" si="0"/>
        <v>20</v>
      </c>
      <c r="I14" s="17" t="str">
        <f t="shared" si="1"/>
        <v>Critical</v>
      </c>
      <c r="J14" s="4" t="s">
        <v>1772</v>
      </c>
      <c r="K14" s="4" t="s">
        <v>1773</v>
      </c>
      <c r="L14" s="16">
        <v>46279</v>
      </c>
      <c r="M14" s="4" t="s">
        <v>1332</v>
      </c>
    </row>
    <row r="15" spans="1:26">
      <c r="A15" s="17" t="s">
        <v>200</v>
      </c>
      <c r="B15" s="17" t="s">
        <v>195</v>
      </c>
      <c r="C15" s="17" t="s">
        <v>932</v>
      </c>
      <c r="D15" s="4" t="s">
        <v>1786</v>
      </c>
      <c r="E15" s="4" t="s">
        <v>1771</v>
      </c>
      <c r="F15" s="17">
        <v>3</v>
      </c>
      <c r="G15" s="17">
        <v>3</v>
      </c>
      <c r="H15" s="17">
        <f t="shared" si="0"/>
        <v>9</v>
      </c>
      <c r="I15" s="17" t="str">
        <f t="shared" si="1"/>
        <v>Medium</v>
      </c>
      <c r="J15" s="4" t="s">
        <v>1772</v>
      </c>
      <c r="K15" s="4" t="s">
        <v>1773</v>
      </c>
      <c r="L15" s="16">
        <v>46286</v>
      </c>
      <c r="M15" s="4" t="s">
        <v>1348</v>
      </c>
    </row>
    <row r="16" spans="1:26">
      <c r="A16" s="17" t="s">
        <v>206</v>
      </c>
      <c r="B16" s="17" t="s">
        <v>201</v>
      </c>
      <c r="C16" s="17" t="s">
        <v>928</v>
      </c>
      <c r="D16" s="4" t="s">
        <v>1787</v>
      </c>
      <c r="E16" s="4" t="s">
        <v>1771</v>
      </c>
      <c r="F16" s="17">
        <v>2</v>
      </c>
      <c r="G16" s="17">
        <v>4</v>
      </c>
      <c r="H16" s="17">
        <f t="shared" si="0"/>
        <v>8</v>
      </c>
      <c r="I16" s="17" t="str">
        <f t="shared" si="1"/>
        <v>Medium</v>
      </c>
      <c r="J16" s="4" t="s">
        <v>1772</v>
      </c>
      <c r="K16" s="4" t="s">
        <v>1773</v>
      </c>
      <c r="L16" s="16">
        <v>46293</v>
      </c>
      <c r="M16" s="4" t="s">
        <v>1332</v>
      </c>
    </row>
    <row r="17" spans="1:13">
      <c r="A17" s="17" t="s">
        <v>212</v>
      </c>
      <c r="B17" s="17" t="s">
        <v>207</v>
      </c>
      <c r="C17" s="17" t="s">
        <v>867</v>
      </c>
      <c r="D17" s="4" t="s">
        <v>1788</v>
      </c>
      <c r="E17" s="4" t="s">
        <v>1771</v>
      </c>
      <c r="F17" s="17">
        <v>5</v>
      </c>
      <c r="G17" s="17">
        <v>3</v>
      </c>
      <c r="H17" s="17">
        <f t="shared" si="0"/>
        <v>15</v>
      </c>
      <c r="I17" s="17" t="str">
        <f t="shared" si="1"/>
        <v>High</v>
      </c>
      <c r="J17" s="4" t="s">
        <v>1772</v>
      </c>
      <c r="K17" s="4" t="s">
        <v>1773</v>
      </c>
      <c r="L17" s="16">
        <v>46300</v>
      </c>
      <c r="M17" s="4" t="s">
        <v>1332</v>
      </c>
    </row>
    <row r="18" spans="1:13">
      <c r="A18" s="17" t="s">
        <v>217</v>
      </c>
      <c r="B18" s="17" t="s">
        <v>213</v>
      </c>
      <c r="C18" s="17" t="s">
        <v>939</v>
      </c>
      <c r="D18" s="4" t="s">
        <v>1789</v>
      </c>
      <c r="E18" s="4" t="s">
        <v>1771</v>
      </c>
      <c r="F18" s="17">
        <v>4</v>
      </c>
      <c r="G18" s="17">
        <v>2</v>
      </c>
      <c r="H18" s="17">
        <f t="shared" si="0"/>
        <v>8</v>
      </c>
      <c r="I18" s="17" t="str">
        <f t="shared" si="1"/>
        <v>Medium</v>
      </c>
      <c r="J18" s="4" t="s">
        <v>1772</v>
      </c>
      <c r="K18" s="4" t="s">
        <v>1773</v>
      </c>
      <c r="L18" s="16">
        <v>46307</v>
      </c>
      <c r="M18" s="4" t="s">
        <v>1332</v>
      </c>
    </row>
    <row r="19" spans="1:13">
      <c r="A19" s="17" t="s">
        <v>222</v>
      </c>
      <c r="B19" s="17" t="s">
        <v>218</v>
      </c>
      <c r="C19" s="17" t="s">
        <v>880</v>
      </c>
      <c r="D19" s="4" t="s">
        <v>1790</v>
      </c>
      <c r="E19" s="4" t="s">
        <v>1771</v>
      </c>
      <c r="F19" s="17">
        <v>3</v>
      </c>
      <c r="G19" s="17">
        <v>5</v>
      </c>
      <c r="H19" s="17">
        <f t="shared" si="0"/>
        <v>15</v>
      </c>
      <c r="I19" s="17" t="str">
        <f t="shared" si="1"/>
        <v>High</v>
      </c>
      <c r="J19" s="4" t="s">
        <v>1772</v>
      </c>
      <c r="K19" s="4" t="s">
        <v>1773</v>
      </c>
      <c r="L19" s="16">
        <v>46314</v>
      </c>
      <c r="M19" s="4" t="s">
        <v>1332</v>
      </c>
    </row>
    <row r="20" spans="1:13">
      <c r="A20" s="17" t="s">
        <v>226</v>
      </c>
      <c r="B20" s="17" t="s">
        <v>223</v>
      </c>
      <c r="C20" s="17" t="s">
        <v>930</v>
      </c>
      <c r="D20" s="4" t="s">
        <v>1791</v>
      </c>
      <c r="E20" s="4" t="s">
        <v>1771</v>
      </c>
      <c r="F20" s="17">
        <v>2</v>
      </c>
      <c r="G20" s="17">
        <v>3</v>
      </c>
      <c r="H20" s="17">
        <f t="shared" si="0"/>
        <v>6</v>
      </c>
      <c r="I20" s="17" t="str">
        <f t="shared" si="1"/>
        <v>Medium</v>
      </c>
      <c r="J20" s="4" t="s">
        <v>1772</v>
      </c>
      <c r="K20" s="4" t="s">
        <v>1773</v>
      </c>
      <c r="L20" s="16">
        <v>46321</v>
      </c>
      <c r="M20" s="4" t="s">
        <v>1332</v>
      </c>
    </row>
    <row r="21" spans="1:13">
      <c r="A21" s="17" t="s">
        <v>230</v>
      </c>
      <c r="B21" s="17" t="s">
        <v>227</v>
      </c>
      <c r="C21" s="17" t="s">
        <v>932</v>
      </c>
      <c r="D21" s="4" t="s">
        <v>1792</v>
      </c>
      <c r="E21" s="4" t="s">
        <v>1771</v>
      </c>
      <c r="F21" s="17">
        <v>5</v>
      </c>
      <c r="G21" s="17">
        <v>4</v>
      </c>
      <c r="H21" s="17">
        <f t="shared" si="0"/>
        <v>20</v>
      </c>
      <c r="I21" s="17" t="str">
        <f t="shared" si="1"/>
        <v>Critical</v>
      </c>
      <c r="J21" s="4" t="s">
        <v>1772</v>
      </c>
      <c r="K21" s="4" t="s">
        <v>1773</v>
      </c>
      <c r="L21" s="16">
        <v>46188</v>
      </c>
      <c r="M21" s="4" t="s">
        <v>1332</v>
      </c>
    </row>
    <row r="22" spans="1:13">
      <c r="A22" s="17" t="s">
        <v>234</v>
      </c>
      <c r="B22" s="17" t="s">
        <v>231</v>
      </c>
      <c r="C22" s="17" t="s">
        <v>928</v>
      </c>
      <c r="D22" s="4" t="s">
        <v>1793</v>
      </c>
      <c r="E22" s="4" t="s">
        <v>1771</v>
      </c>
      <c r="F22" s="17">
        <v>4</v>
      </c>
      <c r="G22" s="17">
        <v>3</v>
      </c>
      <c r="H22" s="17">
        <f t="shared" si="0"/>
        <v>12</v>
      </c>
      <c r="I22" s="17" t="str">
        <f t="shared" si="1"/>
        <v>High</v>
      </c>
      <c r="J22" s="4" t="s">
        <v>1772</v>
      </c>
      <c r="K22" s="4" t="s">
        <v>1773</v>
      </c>
      <c r="L22" s="16">
        <v>46195</v>
      </c>
      <c r="M22" s="4" t="s">
        <v>1348</v>
      </c>
    </row>
    <row r="23" spans="1:13">
      <c r="A23" s="17" t="s">
        <v>238</v>
      </c>
      <c r="B23" s="17" t="s">
        <v>235</v>
      </c>
      <c r="C23" s="17" t="s">
        <v>867</v>
      </c>
      <c r="D23" s="4" t="s">
        <v>1794</v>
      </c>
      <c r="E23" s="4" t="s">
        <v>1771</v>
      </c>
      <c r="F23" s="17">
        <v>3</v>
      </c>
      <c r="G23" s="17">
        <v>2</v>
      </c>
      <c r="H23" s="17">
        <f t="shared" si="0"/>
        <v>6</v>
      </c>
      <c r="I23" s="17" t="str">
        <f t="shared" si="1"/>
        <v>Medium</v>
      </c>
      <c r="J23" s="4" t="s">
        <v>1772</v>
      </c>
      <c r="K23" s="4" t="s">
        <v>1773</v>
      </c>
      <c r="L23" s="16">
        <v>46202</v>
      </c>
      <c r="M23" s="4" t="s">
        <v>1332</v>
      </c>
    </row>
    <row r="24" spans="1:13">
      <c r="A24" s="17" t="s">
        <v>242</v>
      </c>
      <c r="B24" s="17" t="s">
        <v>239</v>
      </c>
      <c r="C24" s="17" t="s">
        <v>939</v>
      </c>
      <c r="D24" s="4" t="s">
        <v>1795</v>
      </c>
      <c r="E24" s="4" t="s">
        <v>1771</v>
      </c>
      <c r="F24" s="17">
        <v>2</v>
      </c>
      <c r="G24" s="17">
        <v>5</v>
      </c>
      <c r="H24" s="17">
        <f t="shared" si="0"/>
        <v>10</v>
      </c>
      <c r="I24" s="17" t="str">
        <f t="shared" si="1"/>
        <v>Medium</v>
      </c>
      <c r="J24" s="4" t="s">
        <v>1772</v>
      </c>
      <c r="K24" s="4" t="s">
        <v>1773</v>
      </c>
      <c r="L24" s="16">
        <v>46209</v>
      </c>
      <c r="M24" s="4" t="s">
        <v>1332</v>
      </c>
    </row>
    <row r="25" spans="1:13">
      <c r="A25" s="17" t="s">
        <v>246</v>
      </c>
      <c r="B25" s="17" t="s">
        <v>243</v>
      </c>
      <c r="C25" s="17" t="s">
        <v>880</v>
      </c>
      <c r="D25" s="4" t="s">
        <v>1796</v>
      </c>
      <c r="E25" s="4" t="s">
        <v>1771</v>
      </c>
      <c r="F25" s="17">
        <v>5</v>
      </c>
      <c r="G25" s="17">
        <v>3</v>
      </c>
      <c r="H25" s="17">
        <f t="shared" si="0"/>
        <v>15</v>
      </c>
      <c r="I25" s="17" t="str">
        <f t="shared" si="1"/>
        <v>High</v>
      </c>
      <c r="J25" s="4" t="s">
        <v>1772</v>
      </c>
      <c r="K25" s="4" t="s">
        <v>1773</v>
      </c>
      <c r="L25" s="16">
        <v>46216</v>
      </c>
      <c r="M25" s="4" t="s">
        <v>1332</v>
      </c>
    </row>
    <row r="26" spans="1:13">
      <c r="A26" s="17" t="s">
        <v>253</v>
      </c>
      <c r="B26" s="17" t="s">
        <v>247</v>
      </c>
      <c r="C26" s="17" t="s">
        <v>880</v>
      </c>
      <c r="D26" s="4" t="s">
        <v>1797</v>
      </c>
      <c r="E26" s="4" t="s">
        <v>1771</v>
      </c>
      <c r="F26" s="17">
        <v>4</v>
      </c>
      <c r="G26" s="17">
        <v>4</v>
      </c>
      <c r="H26" s="17">
        <f t="shared" si="0"/>
        <v>16</v>
      </c>
      <c r="I26" s="17" t="str">
        <f t="shared" si="1"/>
        <v>High</v>
      </c>
      <c r="J26" s="4" t="s">
        <v>1772</v>
      </c>
      <c r="K26" s="4" t="s">
        <v>1773</v>
      </c>
      <c r="L26" s="16">
        <v>46223</v>
      </c>
      <c r="M26" s="4" t="s">
        <v>1332</v>
      </c>
    </row>
    <row r="27" spans="1:13">
      <c r="A27" s="17" t="s">
        <v>259</v>
      </c>
      <c r="B27" s="17" t="s">
        <v>254</v>
      </c>
      <c r="C27" s="17" t="s">
        <v>888</v>
      </c>
      <c r="D27" s="4" t="s">
        <v>1798</v>
      </c>
      <c r="E27" s="4" t="s">
        <v>1771</v>
      </c>
      <c r="F27" s="17">
        <v>3</v>
      </c>
      <c r="G27" s="17">
        <v>3</v>
      </c>
      <c r="H27" s="17">
        <f t="shared" si="0"/>
        <v>9</v>
      </c>
      <c r="I27" s="17" t="str">
        <f t="shared" si="1"/>
        <v>Medium</v>
      </c>
      <c r="J27" s="4" t="s">
        <v>1772</v>
      </c>
      <c r="K27" s="4" t="s">
        <v>1773</v>
      </c>
      <c r="L27" s="16">
        <v>46230</v>
      </c>
      <c r="M27" s="4" t="s">
        <v>1332</v>
      </c>
    </row>
    <row r="28" spans="1:13">
      <c r="A28" s="17" t="s">
        <v>265</v>
      </c>
      <c r="B28" s="17" t="s">
        <v>260</v>
      </c>
      <c r="C28" s="17" t="s">
        <v>932</v>
      </c>
      <c r="D28" s="4" t="s">
        <v>1799</v>
      </c>
      <c r="E28" s="4" t="s">
        <v>1771</v>
      </c>
      <c r="F28" s="17">
        <v>2</v>
      </c>
      <c r="G28" s="17">
        <v>2</v>
      </c>
      <c r="H28" s="17">
        <f t="shared" si="0"/>
        <v>4</v>
      </c>
      <c r="I28" s="17" t="str">
        <f t="shared" si="1"/>
        <v>Low</v>
      </c>
      <c r="J28" s="4" t="s">
        <v>1772</v>
      </c>
      <c r="K28" s="4" t="s">
        <v>1773</v>
      </c>
      <c r="L28" s="16">
        <v>46237</v>
      </c>
      <c r="M28" s="4" t="s">
        <v>1332</v>
      </c>
    </row>
    <row r="29" spans="1:13">
      <c r="A29" s="17" t="s">
        <v>271</v>
      </c>
      <c r="B29" s="17" t="s">
        <v>266</v>
      </c>
      <c r="C29" s="17" t="s">
        <v>926</v>
      </c>
      <c r="D29" s="4" t="s">
        <v>1800</v>
      </c>
      <c r="E29" s="4" t="s">
        <v>1771</v>
      </c>
      <c r="F29" s="17">
        <v>5</v>
      </c>
      <c r="G29" s="17">
        <v>5</v>
      </c>
      <c r="H29" s="17">
        <f t="shared" si="0"/>
        <v>25</v>
      </c>
      <c r="I29" s="17" t="str">
        <f t="shared" si="1"/>
        <v>Critical</v>
      </c>
      <c r="J29" s="4" t="s">
        <v>1772</v>
      </c>
      <c r="K29" s="4" t="s">
        <v>1773</v>
      </c>
      <c r="L29" s="16">
        <v>46244</v>
      </c>
      <c r="M29" s="4" t="s">
        <v>1348</v>
      </c>
    </row>
    <row r="30" spans="1:13">
      <c r="A30" s="17" t="s">
        <v>276</v>
      </c>
      <c r="B30" s="17" t="s">
        <v>272</v>
      </c>
      <c r="C30" s="17" t="s">
        <v>921</v>
      </c>
      <c r="D30" s="4" t="s">
        <v>1801</v>
      </c>
      <c r="E30" s="4" t="s">
        <v>1771</v>
      </c>
      <c r="F30" s="17">
        <v>4</v>
      </c>
      <c r="G30" s="17">
        <v>3</v>
      </c>
      <c r="H30" s="17">
        <f t="shared" si="0"/>
        <v>12</v>
      </c>
      <c r="I30" s="17" t="str">
        <f t="shared" si="1"/>
        <v>High</v>
      </c>
      <c r="J30" s="4" t="s">
        <v>1772</v>
      </c>
      <c r="K30" s="4" t="s">
        <v>1773</v>
      </c>
      <c r="L30" s="16">
        <v>46251</v>
      </c>
      <c r="M30" s="4" t="s">
        <v>1332</v>
      </c>
    </row>
    <row r="31" spans="1:13">
      <c r="A31" s="17" t="s">
        <v>280</v>
      </c>
      <c r="B31" s="17" t="s">
        <v>277</v>
      </c>
      <c r="C31" s="17" t="s">
        <v>854</v>
      </c>
      <c r="D31" s="4" t="s">
        <v>1802</v>
      </c>
      <c r="E31" s="4" t="s">
        <v>1771</v>
      </c>
      <c r="F31" s="17">
        <v>3</v>
      </c>
      <c r="G31" s="17">
        <v>4</v>
      </c>
      <c r="H31" s="17">
        <f t="shared" si="0"/>
        <v>12</v>
      </c>
      <c r="I31" s="17" t="str">
        <f t="shared" si="1"/>
        <v>High</v>
      </c>
      <c r="J31" s="4" t="s">
        <v>1772</v>
      </c>
      <c r="K31" s="4" t="s">
        <v>1773</v>
      </c>
      <c r="L31" s="16">
        <v>46258</v>
      </c>
      <c r="M31" s="4" t="s">
        <v>1332</v>
      </c>
    </row>
    <row r="32" spans="1:13">
      <c r="A32" s="17" t="s">
        <v>283</v>
      </c>
      <c r="B32" s="17" t="s">
        <v>281</v>
      </c>
      <c r="C32" s="17" t="s">
        <v>880</v>
      </c>
      <c r="D32" s="4" t="s">
        <v>1803</v>
      </c>
      <c r="E32" s="4" t="s">
        <v>1771</v>
      </c>
      <c r="F32" s="17">
        <v>2</v>
      </c>
      <c r="G32" s="17">
        <v>3</v>
      </c>
      <c r="H32" s="17">
        <f t="shared" si="0"/>
        <v>6</v>
      </c>
      <c r="I32" s="17" t="str">
        <f t="shared" si="1"/>
        <v>Medium</v>
      </c>
      <c r="J32" s="4" t="s">
        <v>1772</v>
      </c>
      <c r="K32" s="4" t="s">
        <v>1773</v>
      </c>
      <c r="L32" s="16">
        <v>46265</v>
      </c>
      <c r="M32" s="4" t="s">
        <v>1332</v>
      </c>
    </row>
    <row r="33" spans="1:13">
      <c r="A33" s="17" t="s">
        <v>286</v>
      </c>
      <c r="B33" s="17" t="s">
        <v>284</v>
      </c>
      <c r="C33" s="17" t="s">
        <v>888</v>
      </c>
      <c r="D33" s="4" t="s">
        <v>1804</v>
      </c>
      <c r="E33" s="4" t="s">
        <v>1771</v>
      </c>
      <c r="F33" s="17">
        <v>5</v>
      </c>
      <c r="G33" s="17">
        <v>2</v>
      </c>
      <c r="H33" s="17">
        <f t="shared" si="0"/>
        <v>10</v>
      </c>
      <c r="I33" s="17" t="str">
        <f t="shared" si="1"/>
        <v>Medium</v>
      </c>
      <c r="J33" s="4" t="s">
        <v>1772</v>
      </c>
      <c r="K33" s="4" t="s">
        <v>1773</v>
      </c>
      <c r="L33" s="16">
        <v>46272</v>
      </c>
      <c r="M33" s="4" t="s">
        <v>1332</v>
      </c>
    </row>
    <row r="34" spans="1:13">
      <c r="A34" s="17" t="s">
        <v>289</v>
      </c>
      <c r="B34" s="17" t="s">
        <v>287</v>
      </c>
      <c r="C34" s="17" t="s">
        <v>932</v>
      </c>
      <c r="D34" s="4" t="s">
        <v>1805</v>
      </c>
      <c r="E34" s="4" t="s">
        <v>1771</v>
      </c>
      <c r="F34" s="17">
        <v>4</v>
      </c>
      <c r="G34" s="17">
        <v>5</v>
      </c>
      <c r="H34" s="17">
        <f t="shared" ref="H34:H65" si="2">F34*G34</f>
        <v>20</v>
      </c>
      <c r="I34" s="17" t="str">
        <f t="shared" ref="I34:I65" si="3">IF(H34&gt;=20,"Critical",IF(H34&gt;=12,"High",IF(H34&gt;=6,"Medium","Low")))</f>
        <v>Critical</v>
      </c>
      <c r="J34" s="4" t="s">
        <v>1772</v>
      </c>
      <c r="K34" s="4" t="s">
        <v>1773</v>
      </c>
      <c r="L34" s="16">
        <v>46279</v>
      </c>
      <c r="M34" s="4" t="s">
        <v>1332</v>
      </c>
    </row>
    <row r="35" spans="1:13">
      <c r="A35" s="17" t="s">
        <v>292</v>
      </c>
      <c r="B35" s="17" t="s">
        <v>290</v>
      </c>
      <c r="C35" s="17" t="s">
        <v>926</v>
      </c>
      <c r="D35" s="4" t="s">
        <v>1806</v>
      </c>
      <c r="E35" s="4" t="s">
        <v>1771</v>
      </c>
      <c r="F35" s="17">
        <v>3</v>
      </c>
      <c r="G35" s="17">
        <v>3</v>
      </c>
      <c r="H35" s="17">
        <f t="shared" si="2"/>
        <v>9</v>
      </c>
      <c r="I35" s="17" t="str">
        <f t="shared" si="3"/>
        <v>Medium</v>
      </c>
      <c r="J35" s="4" t="s">
        <v>1772</v>
      </c>
      <c r="K35" s="4" t="s">
        <v>1773</v>
      </c>
      <c r="L35" s="16">
        <v>46286</v>
      </c>
      <c r="M35" s="4" t="s">
        <v>1332</v>
      </c>
    </row>
    <row r="36" spans="1:13">
      <c r="A36" s="17" t="s">
        <v>295</v>
      </c>
      <c r="B36" s="17" t="s">
        <v>293</v>
      </c>
      <c r="C36" s="17" t="s">
        <v>921</v>
      </c>
      <c r="D36" s="4" t="s">
        <v>1807</v>
      </c>
      <c r="E36" s="4" t="s">
        <v>1771</v>
      </c>
      <c r="F36" s="17">
        <v>2</v>
      </c>
      <c r="G36" s="17">
        <v>4</v>
      </c>
      <c r="H36" s="17">
        <f t="shared" si="2"/>
        <v>8</v>
      </c>
      <c r="I36" s="17" t="str">
        <f t="shared" si="3"/>
        <v>Medium</v>
      </c>
      <c r="J36" s="4" t="s">
        <v>1772</v>
      </c>
      <c r="K36" s="4" t="s">
        <v>1773</v>
      </c>
      <c r="L36" s="16">
        <v>46293</v>
      </c>
      <c r="M36" s="4" t="s">
        <v>1348</v>
      </c>
    </row>
    <row r="37" spans="1:13">
      <c r="A37" s="17" t="s">
        <v>298</v>
      </c>
      <c r="B37" s="17" t="s">
        <v>296</v>
      </c>
      <c r="C37" s="17" t="s">
        <v>854</v>
      </c>
      <c r="D37" s="4" t="s">
        <v>1808</v>
      </c>
      <c r="E37" s="4" t="s">
        <v>1771</v>
      </c>
      <c r="F37" s="17">
        <v>5</v>
      </c>
      <c r="G37" s="17">
        <v>3</v>
      </c>
      <c r="H37" s="17">
        <f t="shared" si="2"/>
        <v>15</v>
      </c>
      <c r="I37" s="17" t="str">
        <f t="shared" si="3"/>
        <v>High</v>
      </c>
      <c r="J37" s="4" t="s">
        <v>1772</v>
      </c>
      <c r="K37" s="4" t="s">
        <v>1773</v>
      </c>
      <c r="L37" s="16">
        <v>46300</v>
      </c>
      <c r="M37" s="4" t="s">
        <v>1332</v>
      </c>
    </row>
    <row r="38" spans="1:13">
      <c r="A38" s="17" t="s">
        <v>301</v>
      </c>
      <c r="B38" s="17" t="s">
        <v>299</v>
      </c>
      <c r="C38" s="17" t="s">
        <v>880</v>
      </c>
      <c r="D38" s="4" t="s">
        <v>1809</v>
      </c>
      <c r="E38" s="4" t="s">
        <v>1771</v>
      </c>
      <c r="F38" s="17">
        <v>4</v>
      </c>
      <c r="G38" s="17">
        <v>2</v>
      </c>
      <c r="H38" s="17">
        <f t="shared" si="2"/>
        <v>8</v>
      </c>
      <c r="I38" s="17" t="str">
        <f t="shared" si="3"/>
        <v>Medium</v>
      </c>
      <c r="J38" s="4" t="s">
        <v>1772</v>
      </c>
      <c r="K38" s="4" t="s">
        <v>1773</v>
      </c>
      <c r="L38" s="16">
        <v>46307</v>
      </c>
      <c r="M38" s="4" t="s">
        <v>1332</v>
      </c>
    </row>
    <row r="39" spans="1:13">
      <c r="A39" s="17" t="s">
        <v>304</v>
      </c>
      <c r="B39" s="17" t="s">
        <v>302</v>
      </c>
      <c r="C39" s="17" t="s">
        <v>888</v>
      </c>
      <c r="D39" s="4" t="s">
        <v>1810</v>
      </c>
      <c r="E39" s="4" t="s">
        <v>1771</v>
      </c>
      <c r="F39" s="17">
        <v>3</v>
      </c>
      <c r="G39" s="17">
        <v>5</v>
      </c>
      <c r="H39" s="17">
        <f t="shared" si="2"/>
        <v>15</v>
      </c>
      <c r="I39" s="17" t="str">
        <f t="shared" si="3"/>
        <v>High</v>
      </c>
      <c r="J39" s="4" t="s">
        <v>1772</v>
      </c>
      <c r="K39" s="4" t="s">
        <v>1773</v>
      </c>
      <c r="L39" s="16">
        <v>46314</v>
      </c>
      <c r="M39" s="4" t="s">
        <v>1332</v>
      </c>
    </row>
    <row r="40" spans="1:13">
      <c r="A40" s="17" t="s">
        <v>307</v>
      </c>
      <c r="B40" s="17" t="s">
        <v>305</v>
      </c>
      <c r="C40" s="17" t="s">
        <v>932</v>
      </c>
      <c r="D40" s="4" t="s">
        <v>1811</v>
      </c>
      <c r="E40" s="4" t="s">
        <v>1771</v>
      </c>
      <c r="F40" s="17">
        <v>2</v>
      </c>
      <c r="G40" s="17">
        <v>3</v>
      </c>
      <c r="H40" s="17">
        <f t="shared" si="2"/>
        <v>6</v>
      </c>
      <c r="I40" s="17" t="str">
        <f t="shared" si="3"/>
        <v>Medium</v>
      </c>
      <c r="J40" s="4" t="s">
        <v>1772</v>
      </c>
      <c r="K40" s="4" t="s">
        <v>1773</v>
      </c>
      <c r="L40" s="16">
        <v>46321</v>
      </c>
      <c r="M40" s="4" t="s">
        <v>1332</v>
      </c>
    </row>
    <row r="41" spans="1:13">
      <c r="A41" s="17" t="s">
        <v>310</v>
      </c>
      <c r="B41" s="17" t="s">
        <v>308</v>
      </c>
      <c r="C41" s="17" t="s">
        <v>926</v>
      </c>
      <c r="D41" s="4" t="s">
        <v>1812</v>
      </c>
      <c r="E41" s="4" t="s">
        <v>1771</v>
      </c>
      <c r="F41" s="17">
        <v>5</v>
      </c>
      <c r="G41" s="17">
        <v>4</v>
      </c>
      <c r="H41" s="17">
        <f t="shared" si="2"/>
        <v>20</v>
      </c>
      <c r="I41" s="17" t="str">
        <f t="shared" si="3"/>
        <v>Critical</v>
      </c>
      <c r="J41" s="4" t="s">
        <v>1772</v>
      </c>
      <c r="K41" s="4" t="s">
        <v>1773</v>
      </c>
      <c r="L41" s="16">
        <v>46188</v>
      </c>
      <c r="M41" s="4" t="s">
        <v>1332</v>
      </c>
    </row>
    <row r="42" spans="1:13">
      <c r="A42" s="17" t="s">
        <v>313</v>
      </c>
      <c r="B42" s="17" t="s">
        <v>311</v>
      </c>
      <c r="C42" s="17" t="s">
        <v>921</v>
      </c>
      <c r="D42" s="4" t="s">
        <v>1813</v>
      </c>
      <c r="E42" s="4" t="s">
        <v>1771</v>
      </c>
      <c r="F42" s="17">
        <v>4</v>
      </c>
      <c r="G42" s="17">
        <v>3</v>
      </c>
      <c r="H42" s="17">
        <f t="shared" si="2"/>
        <v>12</v>
      </c>
      <c r="I42" s="17" t="str">
        <f t="shared" si="3"/>
        <v>High</v>
      </c>
      <c r="J42" s="4" t="s">
        <v>1772</v>
      </c>
      <c r="K42" s="4" t="s">
        <v>1773</v>
      </c>
      <c r="L42" s="16">
        <v>46195</v>
      </c>
      <c r="M42" s="4" t="s">
        <v>1332</v>
      </c>
    </row>
    <row r="43" spans="1:13">
      <c r="A43" s="17" t="s">
        <v>316</v>
      </c>
      <c r="B43" s="17" t="s">
        <v>314</v>
      </c>
      <c r="C43" s="17" t="s">
        <v>854</v>
      </c>
      <c r="D43" s="4" t="s">
        <v>1814</v>
      </c>
      <c r="E43" s="4" t="s">
        <v>1771</v>
      </c>
      <c r="F43" s="17">
        <v>3</v>
      </c>
      <c r="G43" s="17">
        <v>2</v>
      </c>
      <c r="H43" s="17">
        <f t="shared" si="2"/>
        <v>6</v>
      </c>
      <c r="I43" s="17" t="str">
        <f t="shared" si="3"/>
        <v>Medium</v>
      </c>
      <c r="J43" s="4" t="s">
        <v>1772</v>
      </c>
      <c r="K43" s="4" t="s">
        <v>1773</v>
      </c>
      <c r="L43" s="16">
        <v>46202</v>
      </c>
      <c r="M43" s="4" t="s">
        <v>1348</v>
      </c>
    </row>
    <row r="44" spans="1:13">
      <c r="A44" s="17" t="s">
        <v>319</v>
      </c>
      <c r="B44" s="17" t="s">
        <v>317</v>
      </c>
      <c r="C44" s="17" t="s">
        <v>880</v>
      </c>
      <c r="D44" s="4" t="s">
        <v>1815</v>
      </c>
      <c r="E44" s="4" t="s">
        <v>1771</v>
      </c>
      <c r="F44" s="17">
        <v>2</v>
      </c>
      <c r="G44" s="17">
        <v>5</v>
      </c>
      <c r="H44" s="17">
        <f t="shared" si="2"/>
        <v>10</v>
      </c>
      <c r="I44" s="17" t="str">
        <f t="shared" si="3"/>
        <v>Medium</v>
      </c>
      <c r="J44" s="4" t="s">
        <v>1772</v>
      </c>
      <c r="K44" s="4" t="s">
        <v>1773</v>
      </c>
      <c r="L44" s="16">
        <v>46209</v>
      </c>
      <c r="M44" s="4" t="s">
        <v>1332</v>
      </c>
    </row>
    <row r="45" spans="1:13">
      <c r="A45" s="17" t="s">
        <v>322</v>
      </c>
      <c r="B45" s="17" t="s">
        <v>320</v>
      </c>
      <c r="C45" s="17" t="s">
        <v>888</v>
      </c>
      <c r="D45" s="4" t="s">
        <v>1816</v>
      </c>
      <c r="E45" s="4" t="s">
        <v>1771</v>
      </c>
      <c r="F45" s="17">
        <v>5</v>
      </c>
      <c r="G45" s="17">
        <v>3</v>
      </c>
      <c r="H45" s="17">
        <f t="shared" si="2"/>
        <v>15</v>
      </c>
      <c r="I45" s="17" t="str">
        <f t="shared" si="3"/>
        <v>High</v>
      </c>
      <c r="J45" s="4" t="s">
        <v>1772</v>
      </c>
      <c r="K45" s="4" t="s">
        <v>1773</v>
      </c>
      <c r="L45" s="16">
        <v>46216</v>
      </c>
      <c r="M45" s="4" t="s">
        <v>1332</v>
      </c>
    </row>
    <row r="46" spans="1:13">
      <c r="A46" s="17" t="s">
        <v>325</v>
      </c>
      <c r="B46" s="17" t="s">
        <v>323</v>
      </c>
      <c r="C46" s="17" t="s">
        <v>932</v>
      </c>
      <c r="D46" s="4" t="s">
        <v>1817</v>
      </c>
      <c r="E46" s="4" t="s">
        <v>1771</v>
      </c>
      <c r="F46" s="17">
        <v>4</v>
      </c>
      <c r="G46" s="17">
        <v>4</v>
      </c>
      <c r="H46" s="17">
        <f t="shared" si="2"/>
        <v>16</v>
      </c>
      <c r="I46" s="17" t="str">
        <f t="shared" si="3"/>
        <v>High</v>
      </c>
      <c r="J46" s="4" t="s">
        <v>1772</v>
      </c>
      <c r="K46" s="4" t="s">
        <v>1773</v>
      </c>
      <c r="L46" s="16">
        <v>46223</v>
      </c>
      <c r="M46" s="4" t="s">
        <v>1332</v>
      </c>
    </row>
    <row r="47" spans="1:13">
      <c r="A47" s="17" t="s">
        <v>328</v>
      </c>
      <c r="B47" s="17" t="s">
        <v>326</v>
      </c>
      <c r="C47" s="17" t="s">
        <v>926</v>
      </c>
      <c r="D47" s="4" t="s">
        <v>1818</v>
      </c>
      <c r="E47" s="4" t="s">
        <v>1771</v>
      </c>
      <c r="F47" s="17">
        <v>3</v>
      </c>
      <c r="G47" s="17">
        <v>3</v>
      </c>
      <c r="H47" s="17">
        <f t="shared" si="2"/>
        <v>9</v>
      </c>
      <c r="I47" s="17" t="str">
        <f t="shared" si="3"/>
        <v>Medium</v>
      </c>
      <c r="J47" s="4" t="s">
        <v>1772</v>
      </c>
      <c r="K47" s="4" t="s">
        <v>1773</v>
      </c>
      <c r="L47" s="16">
        <v>46230</v>
      </c>
      <c r="M47" s="4" t="s">
        <v>1332</v>
      </c>
    </row>
    <row r="48" spans="1:13">
      <c r="A48" s="17" t="s">
        <v>335</v>
      </c>
      <c r="B48" s="17" t="s">
        <v>329</v>
      </c>
      <c r="C48" s="17" t="s">
        <v>854</v>
      </c>
      <c r="D48" s="4" t="s">
        <v>1819</v>
      </c>
      <c r="E48" s="4" t="s">
        <v>1771</v>
      </c>
      <c r="F48" s="17">
        <v>2</v>
      </c>
      <c r="G48" s="17">
        <v>2</v>
      </c>
      <c r="H48" s="17">
        <f t="shared" si="2"/>
        <v>4</v>
      </c>
      <c r="I48" s="17" t="str">
        <f t="shared" si="3"/>
        <v>Low</v>
      </c>
      <c r="J48" s="4" t="s">
        <v>1772</v>
      </c>
      <c r="K48" s="4" t="s">
        <v>1773</v>
      </c>
      <c r="L48" s="16">
        <v>46237</v>
      </c>
      <c r="M48" s="4" t="s">
        <v>1332</v>
      </c>
    </row>
    <row r="49" spans="1:13">
      <c r="A49" s="17" t="s">
        <v>341</v>
      </c>
      <c r="B49" s="17" t="s">
        <v>336</v>
      </c>
      <c r="C49" s="17" t="s">
        <v>899</v>
      </c>
      <c r="D49" s="4" t="s">
        <v>1820</v>
      </c>
      <c r="E49" s="4" t="s">
        <v>1771</v>
      </c>
      <c r="F49" s="17">
        <v>5</v>
      </c>
      <c r="G49" s="17">
        <v>5</v>
      </c>
      <c r="H49" s="17">
        <f t="shared" si="2"/>
        <v>25</v>
      </c>
      <c r="I49" s="17" t="str">
        <f t="shared" si="3"/>
        <v>Critical</v>
      </c>
      <c r="J49" s="4" t="s">
        <v>1772</v>
      </c>
      <c r="K49" s="4" t="s">
        <v>1773</v>
      </c>
      <c r="L49" s="16">
        <v>46244</v>
      </c>
      <c r="M49" s="4" t="s">
        <v>1332</v>
      </c>
    </row>
    <row r="50" spans="1:13">
      <c r="A50" s="17" t="s">
        <v>347</v>
      </c>
      <c r="B50" s="17" t="s">
        <v>342</v>
      </c>
      <c r="C50" s="17" t="s">
        <v>926</v>
      </c>
      <c r="D50" s="4" t="s">
        <v>1821</v>
      </c>
      <c r="E50" s="4" t="s">
        <v>1771</v>
      </c>
      <c r="F50" s="17">
        <v>4</v>
      </c>
      <c r="G50" s="17">
        <v>3</v>
      </c>
      <c r="H50" s="17">
        <f t="shared" si="2"/>
        <v>12</v>
      </c>
      <c r="I50" s="17" t="str">
        <f t="shared" si="3"/>
        <v>High</v>
      </c>
      <c r="J50" s="4" t="s">
        <v>1772</v>
      </c>
      <c r="K50" s="4" t="s">
        <v>1773</v>
      </c>
      <c r="L50" s="16">
        <v>46251</v>
      </c>
      <c r="M50" s="4" t="s">
        <v>1348</v>
      </c>
    </row>
    <row r="51" spans="1:13">
      <c r="A51" s="17" t="s">
        <v>353</v>
      </c>
      <c r="B51" s="17" t="s">
        <v>348</v>
      </c>
      <c r="C51" s="17" t="s">
        <v>934</v>
      </c>
      <c r="D51" s="4" t="s">
        <v>1822</v>
      </c>
      <c r="E51" s="4" t="s">
        <v>1771</v>
      </c>
      <c r="F51" s="17">
        <v>3</v>
      </c>
      <c r="G51" s="17">
        <v>4</v>
      </c>
      <c r="H51" s="17">
        <f t="shared" si="2"/>
        <v>12</v>
      </c>
      <c r="I51" s="17" t="str">
        <f t="shared" si="3"/>
        <v>High</v>
      </c>
      <c r="J51" s="4" t="s">
        <v>1772</v>
      </c>
      <c r="K51" s="4" t="s">
        <v>1773</v>
      </c>
      <c r="L51" s="16">
        <v>46258</v>
      </c>
      <c r="M51" s="4" t="s">
        <v>1332</v>
      </c>
    </row>
    <row r="52" spans="1:13">
      <c r="A52" s="17" t="s">
        <v>359</v>
      </c>
      <c r="B52" s="17" t="s">
        <v>354</v>
      </c>
      <c r="C52" s="17" t="s">
        <v>864</v>
      </c>
      <c r="D52" s="4" t="s">
        <v>1823</v>
      </c>
      <c r="E52" s="4" t="s">
        <v>1771</v>
      </c>
      <c r="F52" s="17">
        <v>2</v>
      </c>
      <c r="G52" s="17">
        <v>3</v>
      </c>
      <c r="H52" s="17">
        <f t="shared" si="2"/>
        <v>6</v>
      </c>
      <c r="I52" s="17" t="str">
        <f t="shared" si="3"/>
        <v>Medium</v>
      </c>
      <c r="J52" s="4" t="s">
        <v>1772</v>
      </c>
      <c r="K52" s="4" t="s">
        <v>1773</v>
      </c>
      <c r="L52" s="16">
        <v>46265</v>
      </c>
      <c r="M52" s="4" t="s">
        <v>1332</v>
      </c>
    </row>
    <row r="53" spans="1:13">
      <c r="A53" s="17" t="s">
        <v>365</v>
      </c>
      <c r="B53" s="17" t="s">
        <v>360</v>
      </c>
      <c r="C53" s="17" t="s">
        <v>912</v>
      </c>
      <c r="D53" s="4" t="s">
        <v>1824</v>
      </c>
      <c r="E53" s="4" t="s">
        <v>1771</v>
      </c>
      <c r="F53" s="17">
        <v>5</v>
      </c>
      <c r="G53" s="17">
        <v>2</v>
      </c>
      <c r="H53" s="17">
        <f t="shared" si="2"/>
        <v>10</v>
      </c>
      <c r="I53" s="17" t="str">
        <f t="shared" si="3"/>
        <v>Medium</v>
      </c>
      <c r="J53" s="4" t="s">
        <v>1772</v>
      </c>
      <c r="K53" s="4" t="s">
        <v>1773</v>
      </c>
      <c r="L53" s="16">
        <v>46272</v>
      </c>
      <c r="M53" s="4" t="s">
        <v>1332</v>
      </c>
    </row>
    <row r="54" spans="1:13">
      <c r="A54" s="17" t="s">
        <v>369</v>
      </c>
      <c r="B54" s="17" t="s">
        <v>366</v>
      </c>
      <c r="C54" s="17" t="s">
        <v>854</v>
      </c>
      <c r="D54" s="4" t="s">
        <v>1825</v>
      </c>
      <c r="E54" s="4" t="s">
        <v>1771</v>
      </c>
      <c r="F54" s="17">
        <v>4</v>
      </c>
      <c r="G54" s="17">
        <v>5</v>
      </c>
      <c r="H54" s="17">
        <f t="shared" si="2"/>
        <v>20</v>
      </c>
      <c r="I54" s="17" t="str">
        <f t="shared" si="3"/>
        <v>Critical</v>
      </c>
      <c r="J54" s="4" t="s">
        <v>1772</v>
      </c>
      <c r="K54" s="4" t="s">
        <v>1773</v>
      </c>
      <c r="L54" s="16">
        <v>46279</v>
      </c>
      <c r="M54" s="4" t="s">
        <v>1332</v>
      </c>
    </row>
    <row r="55" spans="1:13">
      <c r="A55" s="17" t="s">
        <v>373</v>
      </c>
      <c r="B55" s="17" t="s">
        <v>370</v>
      </c>
      <c r="C55" s="17" t="s">
        <v>899</v>
      </c>
      <c r="D55" s="4" t="s">
        <v>1826</v>
      </c>
      <c r="E55" s="4" t="s">
        <v>1771</v>
      </c>
      <c r="F55" s="17">
        <v>3</v>
      </c>
      <c r="G55" s="17">
        <v>3</v>
      </c>
      <c r="H55" s="17">
        <f t="shared" si="2"/>
        <v>9</v>
      </c>
      <c r="I55" s="17" t="str">
        <f t="shared" si="3"/>
        <v>Medium</v>
      </c>
      <c r="J55" s="4" t="s">
        <v>1772</v>
      </c>
      <c r="K55" s="4" t="s">
        <v>1773</v>
      </c>
      <c r="L55" s="16">
        <v>46286</v>
      </c>
      <c r="M55" s="4" t="s">
        <v>1332</v>
      </c>
    </row>
    <row r="56" spans="1:13">
      <c r="A56" s="17" t="s">
        <v>377</v>
      </c>
      <c r="B56" s="17" t="s">
        <v>374</v>
      </c>
      <c r="C56" s="17" t="s">
        <v>926</v>
      </c>
      <c r="D56" s="4" t="s">
        <v>1827</v>
      </c>
      <c r="E56" s="4" t="s">
        <v>1771</v>
      </c>
      <c r="F56" s="17">
        <v>2</v>
      </c>
      <c r="G56" s="17">
        <v>4</v>
      </c>
      <c r="H56" s="17">
        <f t="shared" si="2"/>
        <v>8</v>
      </c>
      <c r="I56" s="17" t="str">
        <f t="shared" si="3"/>
        <v>Medium</v>
      </c>
      <c r="J56" s="4" t="s">
        <v>1772</v>
      </c>
      <c r="K56" s="4" t="s">
        <v>1773</v>
      </c>
      <c r="L56" s="16">
        <v>46293</v>
      </c>
      <c r="M56" s="4" t="s">
        <v>1332</v>
      </c>
    </row>
    <row r="57" spans="1:13">
      <c r="A57" s="17" t="s">
        <v>381</v>
      </c>
      <c r="B57" s="17" t="s">
        <v>378</v>
      </c>
      <c r="C57" s="17" t="s">
        <v>934</v>
      </c>
      <c r="D57" s="4" t="s">
        <v>1828</v>
      </c>
      <c r="E57" s="4" t="s">
        <v>1771</v>
      </c>
      <c r="F57" s="17">
        <v>5</v>
      </c>
      <c r="G57" s="17">
        <v>3</v>
      </c>
      <c r="H57" s="17">
        <f t="shared" si="2"/>
        <v>15</v>
      </c>
      <c r="I57" s="17" t="str">
        <f t="shared" si="3"/>
        <v>High</v>
      </c>
      <c r="J57" s="4" t="s">
        <v>1772</v>
      </c>
      <c r="K57" s="4" t="s">
        <v>1773</v>
      </c>
      <c r="L57" s="16">
        <v>46300</v>
      </c>
      <c r="M57" s="4" t="s">
        <v>1348</v>
      </c>
    </row>
    <row r="58" spans="1:13">
      <c r="A58" s="17" t="s">
        <v>385</v>
      </c>
      <c r="B58" s="17" t="s">
        <v>382</v>
      </c>
      <c r="C58" s="17" t="s">
        <v>864</v>
      </c>
      <c r="D58" s="4" t="s">
        <v>1829</v>
      </c>
      <c r="E58" s="4" t="s">
        <v>1771</v>
      </c>
      <c r="F58" s="17">
        <v>4</v>
      </c>
      <c r="G58" s="17">
        <v>2</v>
      </c>
      <c r="H58" s="17">
        <f t="shared" si="2"/>
        <v>8</v>
      </c>
      <c r="I58" s="17" t="str">
        <f t="shared" si="3"/>
        <v>Medium</v>
      </c>
      <c r="J58" s="4" t="s">
        <v>1772</v>
      </c>
      <c r="K58" s="4" t="s">
        <v>1773</v>
      </c>
      <c r="L58" s="16">
        <v>46307</v>
      </c>
      <c r="M58" s="4" t="s">
        <v>1332</v>
      </c>
    </row>
    <row r="59" spans="1:13">
      <c r="A59" s="17" t="s">
        <v>389</v>
      </c>
      <c r="B59" s="17" t="s">
        <v>386</v>
      </c>
      <c r="C59" s="17" t="s">
        <v>912</v>
      </c>
      <c r="D59" s="4" t="s">
        <v>1830</v>
      </c>
      <c r="E59" s="4" t="s">
        <v>1771</v>
      </c>
      <c r="F59" s="17">
        <v>3</v>
      </c>
      <c r="G59" s="17">
        <v>5</v>
      </c>
      <c r="H59" s="17">
        <f t="shared" si="2"/>
        <v>15</v>
      </c>
      <c r="I59" s="17" t="str">
        <f t="shared" si="3"/>
        <v>High</v>
      </c>
      <c r="J59" s="4" t="s">
        <v>1772</v>
      </c>
      <c r="K59" s="4" t="s">
        <v>1773</v>
      </c>
      <c r="L59" s="16">
        <v>46314</v>
      </c>
      <c r="M59" s="4" t="s">
        <v>1332</v>
      </c>
    </row>
    <row r="60" spans="1:13">
      <c r="A60" s="17" t="s">
        <v>393</v>
      </c>
      <c r="B60" s="17" t="s">
        <v>390</v>
      </c>
      <c r="C60" s="17" t="s">
        <v>854</v>
      </c>
      <c r="D60" s="4" t="s">
        <v>1831</v>
      </c>
      <c r="E60" s="4" t="s">
        <v>1771</v>
      </c>
      <c r="F60" s="17">
        <v>2</v>
      </c>
      <c r="G60" s="17">
        <v>3</v>
      </c>
      <c r="H60" s="17">
        <f t="shared" si="2"/>
        <v>6</v>
      </c>
      <c r="I60" s="17" t="str">
        <f t="shared" si="3"/>
        <v>Medium</v>
      </c>
      <c r="J60" s="4" t="s">
        <v>1772</v>
      </c>
      <c r="K60" s="4" t="s">
        <v>1773</v>
      </c>
      <c r="L60" s="16">
        <v>46321</v>
      </c>
      <c r="M60" s="4" t="s">
        <v>1332</v>
      </c>
    </row>
    <row r="61" spans="1:13">
      <c r="A61" s="17" t="s">
        <v>397</v>
      </c>
      <c r="B61" s="17" t="s">
        <v>394</v>
      </c>
      <c r="C61" s="17" t="s">
        <v>899</v>
      </c>
      <c r="D61" s="4" t="s">
        <v>1832</v>
      </c>
      <c r="E61" s="4" t="s">
        <v>1771</v>
      </c>
      <c r="F61" s="17">
        <v>5</v>
      </c>
      <c r="G61" s="17">
        <v>4</v>
      </c>
      <c r="H61" s="17">
        <f t="shared" si="2"/>
        <v>20</v>
      </c>
      <c r="I61" s="17" t="str">
        <f t="shared" si="3"/>
        <v>Critical</v>
      </c>
      <c r="J61" s="4" t="s">
        <v>1772</v>
      </c>
      <c r="K61" s="4" t="s">
        <v>1773</v>
      </c>
      <c r="L61" s="16">
        <v>46188</v>
      </c>
      <c r="M61" s="4" t="s">
        <v>1332</v>
      </c>
    </row>
    <row r="62" spans="1:13">
      <c r="A62" s="17" t="s">
        <v>401</v>
      </c>
      <c r="B62" s="17" t="s">
        <v>398</v>
      </c>
      <c r="C62" s="17" t="s">
        <v>926</v>
      </c>
      <c r="D62" s="4" t="s">
        <v>1833</v>
      </c>
      <c r="E62" s="4" t="s">
        <v>1771</v>
      </c>
      <c r="F62" s="17">
        <v>4</v>
      </c>
      <c r="G62" s="17">
        <v>3</v>
      </c>
      <c r="H62" s="17">
        <f t="shared" si="2"/>
        <v>12</v>
      </c>
      <c r="I62" s="17" t="str">
        <f t="shared" si="3"/>
        <v>High</v>
      </c>
      <c r="J62" s="4" t="s">
        <v>1772</v>
      </c>
      <c r="K62" s="4" t="s">
        <v>1773</v>
      </c>
      <c r="L62" s="16">
        <v>46195</v>
      </c>
      <c r="M62" s="4" t="s">
        <v>1332</v>
      </c>
    </row>
    <row r="63" spans="1:13">
      <c r="A63" s="17" t="s">
        <v>405</v>
      </c>
      <c r="B63" s="17" t="s">
        <v>402</v>
      </c>
      <c r="C63" s="17" t="s">
        <v>934</v>
      </c>
      <c r="D63" s="4" t="s">
        <v>1834</v>
      </c>
      <c r="E63" s="4" t="s">
        <v>1771</v>
      </c>
      <c r="F63" s="17">
        <v>3</v>
      </c>
      <c r="G63" s="17">
        <v>2</v>
      </c>
      <c r="H63" s="17">
        <f t="shared" si="2"/>
        <v>6</v>
      </c>
      <c r="I63" s="17" t="str">
        <f t="shared" si="3"/>
        <v>Medium</v>
      </c>
      <c r="J63" s="4" t="s">
        <v>1772</v>
      </c>
      <c r="K63" s="4" t="s">
        <v>1773</v>
      </c>
      <c r="L63" s="16">
        <v>46202</v>
      </c>
      <c r="M63" s="4" t="s">
        <v>1332</v>
      </c>
    </row>
    <row r="64" spans="1:13">
      <c r="A64" s="17" t="s">
        <v>409</v>
      </c>
      <c r="B64" s="17" t="s">
        <v>406</v>
      </c>
      <c r="C64" s="17" t="s">
        <v>864</v>
      </c>
      <c r="D64" s="4" t="s">
        <v>1835</v>
      </c>
      <c r="E64" s="4" t="s">
        <v>1771</v>
      </c>
      <c r="F64" s="17">
        <v>2</v>
      </c>
      <c r="G64" s="17">
        <v>5</v>
      </c>
      <c r="H64" s="17">
        <f t="shared" si="2"/>
        <v>10</v>
      </c>
      <c r="I64" s="17" t="str">
        <f t="shared" si="3"/>
        <v>Medium</v>
      </c>
      <c r="J64" s="4" t="s">
        <v>1772</v>
      </c>
      <c r="K64" s="4" t="s">
        <v>1773</v>
      </c>
      <c r="L64" s="16">
        <v>46209</v>
      </c>
      <c r="M64" s="4" t="s">
        <v>1348</v>
      </c>
    </row>
    <row r="65" spans="1:13">
      <c r="A65" s="17" t="s">
        <v>413</v>
      </c>
      <c r="B65" s="17" t="s">
        <v>410</v>
      </c>
      <c r="C65" s="17" t="s">
        <v>912</v>
      </c>
      <c r="D65" s="4" t="s">
        <v>1836</v>
      </c>
      <c r="E65" s="4" t="s">
        <v>1771</v>
      </c>
      <c r="F65" s="17">
        <v>5</v>
      </c>
      <c r="G65" s="17">
        <v>3</v>
      </c>
      <c r="H65" s="17">
        <f t="shared" si="2"/>
        <v>15</v>
      </c>
      <c r="I65" s="17" t="str">
        <f t="shared" si="3"/>
        <v>High</v>
      </c>
      <c r="J65" s="4" t="s">
        <v>1772</v>
      </c>
      <c r="K65" s="4" t="s">
        <v>1773</v>
      </c>
      <c r="L65" s="16">
        <v>46216</v>
      </c>
      <c r="M65" s="4" t="s">
        <v>1332</v>
      </c>
    </row>
    <row r="66" spans="1:13">
      <c r="A66" s="17" t="s">
        <v>417</v>
      </c>
      <c r="B66" s="17" t="s">
        <v>414</v>
      </c>
      <c r="C66" s="17" t="s">
        <v>854</v>
      </c>
      <c r="D66" s="4" t="s">
        <v>1837</v>
      </c>
      <c r="E66" s="4" t="s">
        <v>1771</v>
      </c>
      <c r="F66" s="17">
        <v>4</v>
      </c>
      <c r="G66" s="17">
        <v>4</v>
      </c>
      <c r="H66" s="17">
        <f t="shared" ref="H66:H97" si="4">F66*G66</f>
        <v>16</v>
      </c>
      <c r="I66" s="17" t="str">
        <f t="shared" ref="I66:I97" si="5">IF(H66&gt;=20,"Critical",IF(H66&gt;=12,"High",IF(H66&gt;=6,"Medium","Low")))</f>
        <v>High</v>
      </c>
      <c r="J66" s="4" t="s">
        <v>1772</v>
      </c>
      <c r="K66" s="4" t="s">
        <v>1773</v>
      </c>
      <c r="L66" s="16">
        <v>46223</v>
      </c>
      <c r="M66" s="4" t="s">
        <v>1332</v>
      </c>
    </row>
    <row r="67" spans="1:13">
      <c r="A67" s="17" t="s">
        <v>421</v>
      </c>
      <c r="B67" s="17" t="s">
        <v>418</v>
      </c>
      <c r="C67" s="17" t="s">
        <v>899</v>
      </c>
      <c r="D67" s="4" t="s">
        <v>1838</v>
      </c>
      <c r="E67" s="4" t="s">
        <v>1771</v>
      </c>
      <c r="F67" s="17">
        <v>3</v>
      </c>
      <c r="G67" s="17">
        <v>3</v>
      </c>
      <c r="H67" s="17">
        <f t="shared" si="4"/>
        <v>9</v>
      </c>
      <c r="I67" s="17" t="str">
        <f t="shared" si="5"/>
        <v>Medium</v>
      </c>
      <c r="J67" s="4" t="s">
        <v>1772</v>
      </c>
      <c r="K67" s="4" t="s">
        <v>1773</v>
      </c>
      <c r="L67" s="16">
        <v>46230</v>
      </c>
      <c r="M67" s="4" t="s">
        <v>1332</v>
      </c>
    </row>
    <row r="68" spans="1:13">
      <c r="A68" s="17" t="s">
        <v>425</v>
      </c>
      <c r="B68" s="17" t="s">
        <v>422</v>
      </c>
      <c r="C68" s="17" t="s">
        <v>926</v>
      </c>
      <c r="D68" s="4" t="s">
        <v>1839</v>
      </c>
      <c r="E68" s="4" t="s">
        <v>1771</v>
      </c>
      <c r="F68" s="17">
        <v>2</v>
      </c>
      <c r="G68" s="17">
        <v>2</v>
      </c>
      <c r="H68" s="17">
        <f t="shared" si="4"/>
        <v>4</v>
      </c>
      <c r="I68" s="17" t="str">
        <f t="shared" si="5"/>
        <v>Low</v>
      </c>
      <c r="J68" s="4" t="s">
        <v>1772</v>
      </c>
      <c r="K68" s="4" t="s">
        <v>1773</v>
      </c>
      <c r="L68" s="16">
        <v>46237</v>
      </c>
      <c r="M68" s="4" t="s">
        <v>1332</v>
      </c>
    </row>
    <row r="69" spans="1:13">
      <c r="A69" s="17" t="s">
        <v>429</v>
      </c>
      <c r="B69" s="17" t="s">
        <v>426</v>
      </c>
      <c r="C69" s="17" t="s">
        <v>934</v>
      </c>
      <c r="D69" s="4" t="s">
        <v>1840</v>
      </c>
      <c r="E69" s="4" t="s">
        <v>1771</v>
      </c>
      <c r="F69" s="17">
        <v>5</v>
      </c>
      <c r="G69" s="17">
        <v>5</v>
      </c>
      <c r="H69" s="17">
        <f t="shared" si="4"/>
        <v>25</v>
      </c>
      <c r="I69" s="17" t="str">
        <f t="shared" si="5"/>
        <v>Critical</v>
      </c>
      <c r="J69" s="4" t="s">
        <v>1772</v>
      </c>
      <c r="K69" s="4" t="s">
        <v>1773</v>
      </c>
      <c r="L69" s="16">
        <v>46244</v>
      </c>
      <c r="M69" s="4" t="s">
        <v>1332</v>
      </c>
    </row>
    <row r="70" spans="1:13">
      <c r="A70" s="17" t="s">
        <v>433</v>
      </c>
      <c r="B70" s="17" t="s">
        <v>430</v>
      </c>
      <c r="C70" s="17" t="s">
        <v>864</v>
      </c>
      <c r="D70" s="4" t="s">
        <v>1841</v>
      </c>
      <c r="E70" s="4" t="s">
        <v>1771</v>
      </c>
      <c r="F70" s="17">
        <v>4</v>
      </c>
      <c r="G70" s="17">
        <v>3</v>
      </c>
      <c r="H70" s="17">
        <f t="shared" si="4"/>
        <v>12</v>
      </c>
      <c r="I70" s="17" t="str">
        <f t="shared" si="5"/>
        <v>High</v>
      </c>
      <c r="J70" s="4" t="s">
        <v>1772</v>
      </c>
      <c r="K70" s="4" t="s">
        <v>1773</v>
      </c>
      <c r="L70" s="16">
        <v>46251</v>
      </c>
      <c r="M70" s="4" t="s">
        <v>1332</v>
      </c>
    </row>
    <row r="71" spans="1:13">
      <c r="A71" s="17" t="s">
        <v>440</v>
      </c>
      <c r="B71" s="17" t="s">
        <v>434</v>
      </c>
      <c r="C71" s="17" t="s">
        <v>926</v>
      </c>
      <c r="D71" s="4" t="s">
        <v>1842</v>
      </c>
      <c r="E71" s="4" t="s">
        <v>1771</v>
      </c>
      <c r="F71" s="17">
        <v>3</v>
      </c>
      <c r="G71" s="17">
        <v>4</v>
      </c>
      <c r="H71" s="17">
        <f t="shared" si="4"/>
        <v>12</v>
      </c>
      <c r="I71" s="17" t="str">
        <f t="shared" si="5"/>
        <v>High</v>
      </c>
      <c r="J71" s="4" t="s">
        <v>1772</v>
      </c>
      <c r="K71" s="4" t="s">
        <v>1773</v>
      </c>
      <c r="L71" s="16">
        <v>46258</v>
      </c>
      <c r="M71" s="4" t="s">
        <v>1348</v>
      </c>
    </row>
    <row r="72" spans="1:13">
      <c r="A72" s="17" t="s">
        <v>446</v>
      </c>
      <c r="B72" s="17" t="s">
        <v>441</v>
      </c>
      <c r="C72" s="17" t="s">
        <v>932</v>
      </c>
      <c r="D72" s="4" t="s">
        <v>1843</v>
      </c>
      <c r="E72" s="4" t="s">
        <v>1771</v>
      </c>
      <c r="F72" s="17">
        <v>2</v>
      </c>
      <c r="G72" s="17">
        <v>3</v>
      </c>
      <c r="H72" s="17">
        <f t="shared" si="4"/>
        <v>6</v>
      </c>
      <c r="I72" s="17" t="str">
        <f t="shared" si="5"/>
        <v>Medium</v>
      </c>
      <c r="J72" s="4" t="s">
        <v>1772</v>
      </c>
      <c r="K72" s="4" t="s">
        <v>1773</v>
      </c>
      <c r="L72" s="16">
        <v>46265</v>
      </c>
      <c r="M72" s="4" t="s">
        <v>1332</v>
      </c>
    </row>
    <row r="73" spans="1:13">
      <c r="A73" s="17" t="s">
        <v>452</v>
      </c>
      <c r="B73" s="17" t="s">
        <v>447</v>
      </c>
      <c r="C73" s="17" t="s">
        <v>871</v>
      </c>
      <c r="D73" s="4" t="s">
        <v>1844</v>
      </c>
      <c r="E73" s="4" t="s">
        <v>1771</v>
      </c>
      <c r="F73" s="17">
        <v>5</v>
      </c>
      <c r="G73" s="17">
        <v>2</v>
      </c>
      <c r="H73" s="17">
        <f t="shared" si="4"/>
        <v>10</v>
      </c>
      <c r="I73" s="17" t="str">
        <f t="shared" si="5"/>
        <v>Medium</v>
      </c>
      <c r="J73" s="4" t="s">
        <v>1772</v>
      </c>
      <c r="K73" s="4" t="s">
        <v>1773</v>
      </c>
      <c r="L73" s="16">
        <v>46272</v>
      </c>
      <c r="M73" s="4" t="s">
        <v>1332</v>
      </c>
    </row>
    <row r="74" spans="1:13">
      <c r="A74" s="17" t="s">
        <v>458</v>
      </c>
      <c r="B74" s="17" t="s">
        <v>453</v>
      </c>
      <c r="C74" s="17" t="s">
        <v>862</v>
      </c>
      <c r="D74" s="4" t="s">
        <v>1845</v>
      </c>
      <c r="E74" s="4" t="s">
        <v>1771</v>
      </c>
      <c r="F74" s="17">
        <v>4</v>
      </c>
      <c r="G74" s="17">
        <v>5</v>
      </c>
      <c r="H74" s="17">
        <f t="shared" si="4"/>
        <v>20</v>
      </c>
      <c r="I74" s="17" t="str">
        <f t="shared" si="5"/>
        <v>Critical</v>
      </c>
      <c r="J74" s="4" t="s">
        <v>1772</v>
      </c>
      <c r="K74" s="4" t="s">
        <v>1773</v>
      </c>
      <c r="L74" s="16">
        <v>46279</v>
      </c>
      <c r="M74" s="4" t="s">
        <v>1332</v>
      </c>
    </row>
    <row r="75" spans="1:13">
      <c r="A75" s="17" t="s">
        <v>464</v>
      </c>
      <c r="B75" s="17" t="s">
        <v>459</v>
      </c>
      <c r="C75" s="17" t="s">
        <v>937</v>
      </c>
      <c r="D75" s="4" t="s">
        <v>1846</v>
      </c>
      <c r="E75" s="4" t="s">
        <v>1771</v>
      </c>
      <c r="F75" s="17">
        <v>3</v>
      </c>
      <c r="G75" s="17">
        <v>3</v>
      </c>
      <c r="H75" s="17">
        <f t="shared" si="4"/>
        <v>9</v>
      </c>
      <c r="I75" s="17" t="str">
        <f t="shared" si="5"/>
        <v>Medium</v>
      </c>
      <c r="J75" s="4" t="s">
        <v>1772</v>
      </c>
      <c r="K75" s="4" t="s">
        <v>1773</v>
      </c>
      <c r="L75" s="16">
        <v>46286</v>
      </c>
      <c r="M75" s="4" t="s">
        <v>1332</v>
      </c>
    </row>
    <row r="76" spans="1:13">
      <c r="A76" s="17" t="s">
        <v>469</v>
      </c>
      <c r="B76" s="17" t="s">
        <v>465</v>
      </c>
      <c r="C76" s="17" t="s">
        <v>897</v>
      </c>
      <c r="D76" s="4" t="s">
        <v>1847</v>
      </c>
      <c r="E76" s="4" t="s">
        <v>1771</v>
      </c>
      <c r="F76" s="17">
        <v>2</v>
      </c>
      <c r="G76" s="17">
        <v>4</v>
      </c>
      <c r="H76" s="17">
        <f t="shared" si="4"/>
        <v>8</v>
      </c>
      <c r="I76" s="17" t="str">
        <f t="shared" si="5"/>
        <v>Medium</v>
      </c>
      <c r="J76" s="4" t="s">
        <v>1772</v>
      </c>
      <c r="K76" s="4" t="s">
        <v>1773</v>
      </c>
      <c r="L76" s="16">
        <v>46293</v>
      </c>
      <c r="M76" s="4" t="s">
        <v>1332</v>
      </c>
    </row>
    <row r="77" spans="1:13">
      <c r="A77" s="17" t="s">
        <v>473</v>
      </c>
      <c r="B77" s="17" t="s">
        <v>470</v>
      </c>
      <c r="C77" s="17" t="s">
        <v>926</v>
      </c>
      <c r="D77" s="4" t="s">
        <v>1848</v>
      </c>
      <c r="E77" s="4" t="s">
        <v>1771</v>
      </c>
      <c r="F77" s="17">
        <v>5</v>
      </c>
      <c r="G77" s="17">
        <v>3</v>
      </c>
      <c r="H77" s="17">
        <f t="shared" si="4"/>
        <v>15</v>
      </c>
      <c r="I77" s="17" t="str">
        <f t="shared" si="5"/>
        <v>High</v>
      </c>
      <c r="J77" s="4" t="s">
        <v>1772</v>
      </c>
      <c r="K77" s="4" t="s">
        <v>1773</v>
      </c>
      <c r="L77" s="16">
        <v>46300</v>
      </c>
      <c r="M77" s="4" t="s">
        <v>1332</v>
      </c>
    </row>
    <row r="78" spans="1:13">
      <c r="A78" s="17" t="s">
        <v>477</v>
      </c>
      <c r="B78" s="17" t="s">
        <v>474</v>
      </c>
      <c r="C78" s="17" t="s">
        <v>932</v>
      </c>
      <c r="D78" s="4" t="s">
        <v>1849</v>
      </c>
      <c r="E78" s="4" t="s">
        <v>1771</v>
      </c>
      <c r="F78" s="17">
        <v>4</v>
      </c>
      <c r="G78" s="17">
        <v>2</v>
      </c>
      <c r="H78" s="17">
        <f t="shared" si="4"/>
        <v>8</v>
      </c>
      <c r="I78" s="17" t="str">
        <f t="shared" si="5"/>
        <v>Medium</v>
      </c>
      <c r="J78" s="4" t="s">
        <v>1772</v>
      </c>
      <c r="K78" s="4" t="s">
        <v>1773</v>
      </c>
      <c r="L78" s="16">
        <v>46307</v>
      </c>
      <c r="M78" s="4" t="s">
        <v>1348</v>
      </c>
    </row>
    <row r="79" spans="1:13">
      <c r="A79" s="17" t="s">
        <v>481</v>
      </c>
      <c r="B79" s="17" t="s">
        <v>478</v>
      </c>
      <c r="C79" s="17" t="s">
        <v>871</v>
      </c>
      <c r="D79" s="4" t="s">
        <v>1850</v>
      </c>
      <c r="E79" s="4" t="s">
        <v>1771</v>
      </c>
      <c r="F79" s="17">
        <v>3</v>
      </c>
      <c r="G79" s="17">
        <v>5</v>
      </c>
      <c r="H79" s="17">
        <f t="shared" si="4"/>
        <v>15</v>
      </c>
      <c r="I79" s="17" t="str">
        <f t="shared" si="5"/>
        <v>High</v>
      </c>
      <c r="J79" s="4" t="s">
        <v>1772</v>
      </c>
      <c r="K79" s="4" t="s">
        <v>1773</v>
      </c>
      <c r="L79" s="16">
        <v>46314</v>
      </c>
      <c r="M79" s="4" t="s">
        <v>1332</v>
      </c>
    </row>
    <row r="80" spans="1:13">
      <c r="A80" s="17" t="s">
        <v>485</v>
      </c>
      <c r="B80" s="17" t="s">
        <v>482</v>
      </c>
      <c r="C80" s="17" t="s">
        <v>862</v>
      </c>
      <c r="D80" s="4" t="s">
        <v>1851</v>
      </c>
      <c r="E80" s="4" t="s">
        <v>1771</v>
      </c>
      <c r="F80" s="17">
        <v>2</v>
      </c>
      <c r="G80" s="17">
        <v>3</v>
      </c>
      <c r="H80" s="17">
        <f t="shared" si="4"/>
        <v>6</v>
      </c>
      <c r="I80" s="17" t="str">
        <f t="shared" si="5"/>
        <v>Medium</v>
      </c>
      <c r="J80" s="4" t="s">
        <v>1772</v>
      </c>
      <c r="K80" s="4" t="s">
        <v>1773</v>
      </c>
      <c r="L80" s="16">
        <v>46321</v>
      </c>
      <c r="M80" s="4" t="s">
        <v>1332</v>
      </c>
    </row>
    <row r="81" spans="1:13">
      <c r="A81" s="17" t="s">
        <v>489</v>
      </c>
      <c r="B81" s="17" t="s">
        <v>486</v>
      </c>
      <c r="C81" s="17" t="s">
        <v>937</v>
      </c>
      <c r="D81" s="4" t="s">
        <v>1852</v>
      </c>
      <c r="E81" s="4" t="s">
        <v>1771</v>
      </c>
      <c r="F81" s="17">
        <v>5</v>
      </c>
      <c r="G81" s="17">
        <v>4</v>
      </c>
      <c r="H81" s="17">
        <f t="shared" si="4"/>
        <v>20</v>
      </c>
      <c r="I81" s="17" t="str">
        <f t="shared" si="5"/>
        <v>Critical</v>
      </c>
      <c r="J81" s="4" t="s">
        <v>1772</v>
      </c>
      <c r="K81" s="4" t="s">
        <v>1773</v>
      </c>
      <c r="L81" s="16">
        <v>46188</v>
      </c>
      <c r="M81" s="4" t="s">
        <v>1332</v>
      </c>
    </row>
    <row r="82" spans="1:13">
      <c r="A82" s="17" t="s">
        <v>493</v>
      </c>
      <c r="B82" s="17" t="s">
        <v>490</v>
      </c>
      <c r="C82" s="17" t="s">
        <v>897</v>
      </c>
      <c r="D82" s="4" t="s">
        <v>1853</v>
      </c>
      <c r="E82" s="4" t="s">
        <v>1771</v>
      </c>
      <c r="F82" s="17">
        <v>4</v>
      </c>
      <c r="G82" s="17">
        <v>3</v>
      </c>
      <c r="H82" s="17">
        <f t="shared" si="4"/>
        <v>12</v>
      </c>
      <c r="I82" s="17" t="str">
        <f t="shared" si="5"/>
        <v>High</v>
      </c>
      <c r="J82" s="4" t="s">
        <v>1772</v>
      </c>
      <c r="K82" s="4" t="s">
        <v>1773</v>
      </c>
      <c r="L82" s="16">
        <v>46195</v>
      </c>
      <c r="M82" s="4" t="s">
        <v>1332</v>
      </c>
    </row>
    <row r="83" spans="1:13">
      <c r="A83" s="17" t="s">
        <v>497</v>
      </c>
      <c r="B83" s="17" t="s">
        <v>494</v>
      </c>
      <c r="C83" s="17" t="s">
        <v>926</v>
      </c>
      <c r="D83" s="4" t="s">
        <v>1854</v>
      </c>
      <c r="E83" s="4" t="s">
        <v>1771</v>
      </c>
      <c r="F83" s="17">
        <v>3</v>
      </c>
      <c r="G83" s="17">
        <v>2</v>
      </c>
      <c r="H83" s="17">
        <f t="shared" si="4"/>
        <v>6</v>
      </c>
      <c r="I83" s="17" t="str">
        <f t="shared" si="5"/>
        <v>Medium</v>
      </c>
      <c r="J83" s="4" t="s">
        <v>1772</v>
      </c>
      <c r="K83" s="4" t="s">
        <v>1773</v>
      </c>
      <c r="L83" s="16">
        <v>46202</v>
      </c>
      <c r="M83" s="4" t="s">
        <v>1332</v>
      </c>
    </row>
    <row r="84" spans="1:13">
      <c r="A84" s="17" t="s">
        <v>501</v>
      </c>
      <c r="B84" s="17" t="s">
        <v>498</v>
      </c>
      <c r="C84" s="17" t="s">
        <v>932</v>
      </c>
      <c r="D84" s="4" t="s">
        <v>1855</v>
      </c>
      <c r="E84" s="4" t="s">
        <v>1771</v>
      </c>
      <c r="F84" s="17">
        <v>2</v>
      </c>
      <c r="G84" s="17">
        <v>5</v>
      </c>
      <c r="H84" s="17">
        <f t="shared" si="4"/>
        <v>10</v>
      </c>
      <c r="I84" s="17" t="str">
        <f t="shared" si="5"/>
        <v>Medium</v>
      </c>
      <c r="J84" s="4" t="s">
        <v>1772</v>
      </c>
      <c r="K84" s="4" t="s">
        <v>1773</v>
      </c>
      <c r="L84" s="16">
        <v>46209</v>
      </c>
      <c r="M84" s="4" t="s">
        <v>1332</v>
      </c>
    </row>
    <row r="85" spans="1:13">
      <c r="A85" s="17" t="s">
        <v>505</v>
      </c>
      <c r="B85" s="17" t="s">
        <v>502</v>
      </c>
      <c r="C85" s="17" t="s">
        <v>871</v>
      </c>
      <c r="D85" s="4" t="s">
        <v>1856</v>
      </c>
      <c r="E85" s="4" t="s">
        <v>1771</v>
      </c>
      <c r="F85" s="17">
        <v>5</v>
      </c>
      <c r="G85" s="17">
        <v>3</v>
      </c>
      <c r="H85" s="17">
        <f t="shared" si="4"/>
        <v>15</v>
      </c>
      <c r="I85" s="17" t="str">
        <f t="shared" si="5"/>
        <v>High</v>
      </c>
      <c r="J85" s="4" t="s">
        <v>1772</v>
      </c>
      <c r="K85" s="4" t="s">
        <v>1773</v>
      </c>
      <c r="L85" s="16">
        <v>46216</v>
      </c>
      <c r="M85" s="4" t="s">
        <v>1348</v>
      </c>
    </row>
    <row r="86" spans="1:13">
      <c r="A86" s="17" t="s">
        <v>509</v>
      </c>
      <c r="B86" s="17" t="s">
        <v>506</v>
      </c>
      <c r="C86" s="17" t="s">
        <v>862</v>
      </c>
      <c r="D86" s="4" t="s">
        <v>1857</v>
      </c>
      <c r="E86" s="4" t="s">
        <v>1771</v>
      </c>
      <c r="F86" s="17">
        <v>4</v>
      </c>
      <c r="G86" s="17">
        <v>4</v>
      </c>
      <c r="H86" s="17">
        <f t="shared" si="4"/>
        <v>16</v>
      </c>
      <c r="I86" s="17" t="str">
        <f t="shared" si="5"/>
        <v>High</v>
      </c>
      <c r="J86" s="4" t="s">
        <v>1772</v>
      </c>
      <c r="K86" s="4" t="s">
        <v>1773</v>
      </c>
      <c r="L86" s="16">
        <v>46223</v>
      </c>
      <c r="M86" s="4" t="s">
        <v>1332</v>
      </c>
    </row>
    <row r="87" spans="1:13">
      <c r="A87" s="17" t="s">
        <v>513</v>
      </c>
      <c r="B87" s="17" t="s">
        <v>510</v>
      </c>
      <c r="C87" s="17" t="s">
        <v>937</v>
      </c>
      <c r="D87" s="4" t="s">
        <v>1858</v>
      </c>
      <c r="E87" s="4" t="s">
        <v>1771</v>
      </c>
      <c r="F87" s="17">
        <v>3</v>
      </c>
      <c r="G87" s="17">
        <v>3</v>
      </c>
      <c r="H87" s="17">
        <f t="shared" si="4"/>
        <v>9</v>
      </c>
      <c r="I87" s="17" t="str">
        <f t="shared" si="5"/>
        <v>Medium</v>
      </c>
      <c r="J87" s="4" t="s">
        <v>1772</v>
      </c>
      <c r="K87" s="4" t="s">
        <v>1773</v>
      </c>
      <c r="L87" s="16">
        <v>46230</v>
      </c>
      <c r="M87" s="4" t="s">
        <v>1332</v>
      </c>
    </row>
    <row r="88" spans="1:13">
      <c r="A88" s="17" t="s">
        <v>517</v>
      </c>
      <c r="B88" s="17" t="s">
        <v>514</v>
      </c>
      <c r="C88" s="17" t="s">
        <v>897</v>
      </c>
      <c r="D88" s="4" t="s">
        <v>1859</v>
      </c>
      <c r="E88" s="4" t="s">
        <v>1771</v>
      </c>
      <c r="F88" s="17">
        <v>2</v>
      </c>
      <c r="G88" s="17">
        <v>2</v>
      </c>
      <c r="H88" s="17">
        <f t="shared" si="4"/>
        <v>4</v>
      </c>
      <c r="I88" s="17" t="str">
        <f t="shared" si="5"/>
        <v>Low</v>
      </c>
      <c r="J88" s="4" t="s">
        <v>1772</v>
      </c>
      <c r="K88" s="4" t="s">
        <v>1773</v>
      </c>
      <c r="L88" s="16">
        <v>46237</v>
      </c>
      <c r="M88" s="4" t="s">
        <v>1332</v>
      </c>
    </row>
    <row r="89" spans="1:13">
      <c r="A89" s="17" t="s">
        <v>521</v>
      </c>
      <c r="B89" s="17" t="s">
        <v>518</v>
      </c>
      <c r="C89" s="17" t="s">
        <v>926</v>
      </c>
      <c r="D89" s="4" t="s">
        <v>1860</v>
      </c>
      <c r="E89" s="4" t="s">
        <v>1771</v>
      </c>
      <c r="F89" s="17">
        <v>5</v>
      </c>
      <c r="G89" s="17">
        <v>5</v>
      </c>
      <c r="H89" s="17">
        <f t="shared" si="4"/>
        <v>25</v>
      </c>
      <c r="I89" s="17" t="str">
        <f t="shared" si="5"/>
        <v>Critical</v>
      </c>
      <c r="J89" s="4" t="s">
        <v>1772</v>
      </c>
      <c r="K89" s="4" t="s">
        <v>1773</v>
      </c>
      <c r="L89" s="16">
        <v>46244</v>
      </c>
      <c r="M89" s="4" t="s">
        <v>1332</v>
      </c>
    </row>
    <row r="90" spans="1:13">
      <c r="A90" s="17" t="s">
        <v>525</v>
      </c>
      <c r="B90" s="17" t="s">
        <v>522</v>
      </c>
      <c r="C90" s="17" t="s">
        <v>932</v>
      </c>
      <c r="D90" s="4" t="s">
        <v>1861</v>
      </c>
      <c r="E90" s="4" t="s">
        <v>1771</v>
      </c>
      <c r="F90" s="17">
        <v>4</v>
      </c>
      <c r="G90" s="17">
        <v>3</v>
      </c>
      <c r="H90" s="17">
        <f t="shared" si="4"/>
        <v>12</v>
      </c>
      <c r="I90" s="17" t="str">
        <f t="shared" si="5"/>
        <v>High</v>
      </c>
      <c r="J90" s="4" t="s">
        <v>1772</v>
      </c>
      <c r="K90" s="4" t="s">
        <v>1773</v>
      </c>
      <c r="L90" s="16">
        <v>46251</v>
      </c>
      <c r="M90" s="4" t="s">
        <v>1332</v>
      </c>
    </row>
    <row r="91" spans="1:13">
      <c r="A91" s="17" t="s">
        <v>529</v>
      </c>
      <c r="B91" s="17" t="s">
        <v>526</v>
      </c>
      <c r="C91" s="17" t="s">
        <v>871</v>
      </c>
      <c r="D91" s="4" t="s">
        <v>1862</v>
      </c>
      <c r="E91" s="4" t="s">
        <v>1771</v>
      </c>
      <c r="F91" s="17">
        <v>3</v>
      </c>
      <c r="G91" s="17">
        <v>4</v>
      </c>
      <c r="H91" s="17">
        <f t="shared" si="4"/>
        <v>12</v>
      </c>
      <c r="I91" s="17" t="str">
        <f t="shared" si="5"/>
        <v>High</v>
      </c>
      <c r="J91" s="4" t="s">
        <v>1772</v>
      </c>
      <c r="K91" s="4" t="s">
        <v>1773</v>
      </c>
      <c r="L91" s="16">
        <v>46258</v>
      </c>
      <c r="M91" s="4" t="s">
        <v>1332</v>
      </c>
    </row>
    <row r="92" spans="1:13">
      <c r="A92" s="17" t="s">
        <v>533</v>
      </c>
      <c r="B92" s="17" t="s">
        <v>530</v>
      </c>
      <c r="C92" s="17" t="s">
        <v>862</v>
      </c>
      <c r="D92" s="4" t="s">
        <v>1863</v>
      </c>
      <c r="E92" s="4" t="s">
        <v>1771</v>
      </c>
      <c r="F92" s="17">
        <v>2</v>
      </c>
      <c r="G92" s="17">
        <v>3</v>
      </c>
      <c r="H92" s="17">
        <f t="shared" si="4"/>
        <v>6</v>
      </c>
      <c r="I92" s="17" t="str">
        <f t="shared" si="5"/>
        <v>Medium</v>
      </c>
      <c r="J92" s="4" t="s">
        <v>1772</v>
      </c>
      <c r="K92" s="4" t="s">
        <v>1773</v>
      </c>
      <c r="L92" s="16">
        <v>46265</v>
      </c>
      <c r="M92" s="4" t="s">
        <v>1348</v>
      </c>
    </row>
    <row r="93" spans="1:13">
      <c r="A93" s="17" t="s">
        <v>541</v>
      </c>
      <c r="B93" s="17" t="s">
        <v>534</v>
      </c>
      <c r="C93" s="17" t="s">
        <v>915</v>
      </c>
      <c r="D93" s="4" t="s">
        <v>1864</v>
      </c>
      <c r="E93" s="4" t="s">
        <v>1771</v>
      </c>
      <c r="F93" s="17">
        <v>5</v>
      </c>
      <c r="G93" s="17">
        <v>2</v>
      </c>
      <c r="H93" s="17">
        <f t="shared" si="4"/>
        <v>10</v>
      </c>
      <c r="I93" s="17" t="str">
        <f t="shared" si="5"/>
        <v>Medium</v>
      </c>
      <c r="J93" s="4" t="s">
        <v>1772</v>
      </c>
      <c r="K93" s="4" t="s">
        <v>1773</v>
      </c>
      <c r="L93" s="16">
        <v>46272</v>
      </c>
      <c r="M93" s="4" t="s">
        <v>1332</v>
      </c>
    </row>
    <row r="94" spans="1:13">
      <c r="A94" s="17" t="s">
        <v>546</v>
      </c>
      <c r="B94" s="17" t="s">
        <v>542</v>
      </c>
      <c r="C94" s="17" t="s">
        <v>873</v>
      </c>
      <c r="D94" s="4" t="s">
        <v>1865</v>
      </c>
      <c r="E94" s="4" t="s">
        <v>1771</v>
      </c>
      <c r="F94" s="17">
        <v>4</v>
      </c>
      <c r="G94" s="17">
        <v>5</v>
      </c>
      <c r="H94" s="17">
        <f t="shared" si="4"/>
        <v>20</v>
      </c>
      <c r="I94" s="17" t="str">
        <f t="shared" si="5"/>
        <v>Critical</v>
      </c>
      <c r="J94" s="4" t="s">
        <v>1772</v>
      </c>
      <c r="K94" s="4" t="s">
        <v>1773</v>
      </c>
      <c r="L94" s="16">
        <v>46279</v>
      </c>
      <c r="M94" s="4" t="s">
        <v>1332</v>
      </c>
    </row>
    <row r="95" spans="1:13">
      <c r="A95" s="17" t="s">
        <v>551</v>
      </c>
      <c r="B95" s="17" t="s">
        <v>547</v>
      </c>
      <c r="C95" s="17" t="s">
        <v>878</v>
      </c>
      <c r="D95" s="4" t="s">
        <v>1866</v>
      </c>
      <c r="E95" s="4" t="s">
        <v>1771</v>
      </c>
      <c r="F95" s="17">
        <v>3</v>
      </c>
      <c r="G95" s="17">
        <v>3</v>
      </c>
      <c r="H95" s="17">
        <f t="shared" si="4"/>
        <v>9</v>
      </c>
      <c r="I95" s="17" t="str">
        <f t="shared" si="5"/>
        <v>Medium</v>
      </c>
      <c r="J95" s="4" t="s">
        <v>1772</v>
      </c>
      <c r="K95" s="4" t="s">
        <v>1773</v>
      </c>
      <c r="L95" s="16">
        <v>46286</v>
      </c>
      <c r="M95" s="4" t="s">
        <v>1332</v>
      </c>
    </row>
    <row r="96" spans="1:13">
      <c r="A96" s="17" t="s">
        <v>556</v>
      </c>
      <c r="B96" s="17" t="s">
        <v>552</v>
      </c>
      <c r="C96" s="17" t="s">
        <v>939</v>
      </c>
      <c r="D96" s="4" t="s">
        <v>1867</v>
      </c>
      <c r="E96" s="4" t="s">
        <v>1771</v>
      </c>
      <c r="F96" s="17">
        <v>2</v>
      </c>
      <c r="G96" s="17">
        <v>4</v>
      </c>
      <c r="H96" s="17">
        <f t="shared" si="4"/>
        <v>8</v>
      </c>
      <c r="I96" s="17" t="str">
        <f t="shared" si="5"/>
        <v>Medium</v>
      </c>
      <c r="J96" s="4" t="s">
        <v>1772</v>
      </c>
      <c r="K96" s="4" t="s">
        <v>1773</v>
      </c>
      <c r="L96" s="16">
        <v>46293</v>
      </c>
      <c r="M96" s="4" t="s">
        <v>1332</v>
      </c>
    </row>
    <row r="97" spans="1:13">
      <c r="A97" s="17" t="s">
        <v>561</v>
      </c>
      <c r="B97" s="17" t="s">
        <v>557</v>
      </c>
      <c r="C97" s="17" t="s">
        <v>904</v>
      </c>
      <c r="D97" s="4" t="s">
        <v>1868</v>
      </c>
      <c r="E97" s="4" t="s">
        <v>1771</v>
      </c>
      <c r="F97" s="17">
        <v>5</v>
      </c>
      <c r="G97" s="17">
        <v>3</v>
      </c>
      <c r="H97" s="17">
        <f t="shared" si="4"/>
        <v>15</v>
      </c>
      <c r="I97" s="17" t="str">
        <f t="shared" si="5"/>
        <v>High</v>
      </c>
      <c r="J97" s="4" t="s">
        <v>1772</v>
      </c>
      <c r="K97" s="4" t="s">
        <v>1773</v>
      </c>
      <c r="L97" s="16">
        <v>46300</v>
      </c>
      <c r="M97" s="4" t="s">
        <v>1332</v>
      </c>
    </row>
    <row r="98" spans="1:13">
      <c r="A98" s="17" t="s">
        <v>566</v>
      </c>
      <c r="B98" s="17" t="s">
        <v>562</v>
      </c>
      <c r="C98" s="17" t="s">
        <v>923</v>
      </c>
      <c r="D98" s="4" t="s">
        <v>1869</v>
      </c>
      <c r="E98" s="4" t="s">
        <v>1771</v>
      </c>
      <c r="F98" s="17">
        <v>4</v>
      </c>
      <c r="G98" s="17">
        <v>2</v>
      </c>
      <c r="H98" s="17">
        <f t="shared" ref="H98:H129" si="6">F98*G98</f>
        <v>8</v>
      </c>
      <c r="I98" s="17" t="str">
        <f t="shared" ref="I98:I129" si="7">IF(H98&gt;=20,"Critical",IF(H98&gt;=12,"High",IF(H98&gt;=6,"Medium","Low")))</f>
        <v>Medium</v>
      </c>
      <c r="J98" s="4" t="s">
        <v>1772</v>
      </c>
      <c r="K98" s="4" t="s">
        <v>1773</v>
      </c>
      <c r="L98" s="16">
        <v>46307</v>
      </c>
      <c r="M98" s="4" t="s">
        <v>1332</v>
      </c>
    </row>
    <row r="99" spans="1:13">
      <c r="A99" s="17" t="s">
        <v>570</v>
      </c>
      <c r="B99" s="17" t="s">
        <v>567</v>
      </c>
      <c r="C99" s="17" t="s">
        <v>926</v>
      </c>
      <c r="D99" s="4" t="s">
        <v>1870</v>
      </c>
      <c r="E99" s="4" t="s">
        <v>1771</v>
      </c>
      <c r="F99" s="17">
        <v>3</v>
      </c>
      <c r="G99" s="17">
        <v>5</v>
      </c>
      <c r="H99" s="17">
        <f t="shared" si="6"/>
        <v>15</v>
      </c>
      <c r="I99" s="17" t="str">
        <f t="shared" si="7"/>
        <v>High</v>
      </c>
      <c r="J99" s="4" t="s">
        <v>1772</v>
      </c>
      <c r="K99" s="4" t="s">
        <v>1773</v>
      </c>
      <c r="L99" s="16">
        <v>46314</v>
      </c>
      <c r="M99" s="4" t="s">
        <v>1348</v>
      </c>
    </row>
    <row r="100" spans="1:13">
      <c r="A100" s="17" t="s">
        <v>574</v>
      </c>
      <c r="B100" s="17" t="s">
        <v>571</v>
      </c>
      <c r="C100" s="17" t="s">
        <v>902</v>
      </c>
      <c r="D100" s="4" t="s">
        <v>1871</v>
      </c>
      <c r="E100" s="4" t="s">
        <v>1771</v>
      </c>
      <c r="F100" s="17">
        <v>2</v>
      </c>
      <c r="G100" s="17">
        <v>3</v>
      </c>
      <c r="H100" s="17">
        <f t="shared" si="6"/>
        <v>6</v>
      </c>
      <c r="I100" s="17" t="str">
        <f t="shared" si="7"/>
        <v>Medium</v>
      </c>
      <c r="J100" s="4" t="s">
        <v>1772</v>
      </c>
      <c r="K100" s="4" t="s">
        <v>1773</v>
      </c>
      <c r="L100" s="16">
        <v>46321</v>
      </c>
      <c r="M100" s="4" t="s">
        <v>1332</v>
      </c>
    </row>
    <row r="101" spans="1:13">
      <c r="A101" s="17" t="s">
        <v>577</v>
      </c>
      <c r="B101" s="17" t="s">
        <v>575</v>
      </c>
      <c r="C101" s="17" t="s">
        <v>915</v>
      </c>
      <c r="D101" s="4" t="s">
        <v>1872</v>
      </c>
      <c r="E101" s="4" t="s">
        <v>1771</v>
      </c>
      <c r="F101" s="17">
        <v>5</v>
      </c>
      <c r="G101" s="17">
        <v>4</v>
      </c>
      <c r="H101" s="17">
        <f t="shared" si="6"/>
        <v>20</v>
      </c>
      <c r="I101" s="17" t="str">
        <f t="shared" si="7"/>
        <v>Critical</v>
      </c>
      <c r="J101" s="4" t="s">
        <v>1772</v>
      </c>
      <c r="K101" s="4" t="s">
        <v>1773</v>
      </c>
      <c r="L101" s="16">
        <v>46188</v>
      </c>
      <c r="M101" s="4" t="s">
        <v>1332</v>
      </c>
    </row>
    <row r="102" spans="1:13">
      <c r="A102" s="17" t="s">
        <v>580</v>
      </c>
      <c r="B102" s="17" t="s">
        <v>578</v>
      </c>
      <c r="C102" s="17" t="s">
        <v>873</v>
      </c>
      <c r="D102" s="4" t="s">
        <v>1873</v>
      </c>
      <c r="E102" s="4" t="s">
        <v>1771</v>
      </c>
      <c r="F102" s="17">
        <v>4</v>
      </c>
      <c r="G102" s="17">
        <v>3</v>
      </c>
      <c r="H102" s="17">
        <f t="shared" si="6"/>
        <v>12</v>
      </c>
      <c r="I102" s="17" t="str">
        <f t="shared" si="7"/>
        <v>High</v>
      </c>
      <c r="J102" s="4" t="s">
        <v>1772</v>
      </c>
      <c r="K102" s="4" t="s">
        <v>1773</v>
      </c>
      <c r="L102" s="16">
        <v>46195</v>
      </c>
      <c r="M102" s="4" t="s">
        <v>1332</v>
      </c>
    </row>
    <row r="103" spans="1:13">
      <c r="A103" s="17" t="s">
        <v>583</v>
      </c>
      <c r="B103" s="17" t="s">
        <v>581</v>
      </c>
      <c r="C103" s="17" t="s">
        <v>878</v>
      </c>
      <c r="D103" s="4" t="s">
        <v>1874</v>
      </c>
      <c r="E103" s="4" t="s">
        <v>1771</v>
      </c>
      <c r="F103" s="17">
        <v>3</v>
      </c>
      <c r="G103" s="17">
        <v>2</v>
      </c>
      <c r="H103" s="17">
        <f t="shared" si="6"/>
        <v>6</v>
      </c>
      <c r="I103" s="17" t="str">
        <f t="shared" si="7"/>
        <v>Medium</v>
      </c>
      <c r="J103" s="4" t="s">
        <v>1772</v>
      </c>
      <c r="K103" s="4" t="s">
        <v>1773</v>
      </c>
      <c r="L103" s="16">
        <v>46202</v>
      </c>
      <c r="M103" s="4" t="s">
        <v>1332</v>
      </c>
    </row>
    <row r="104" spans="1:13">
      <c r="A104" s="17" t="s">
        <v>586</v>
      </c>
      <c r="B104" s="17" t="s">
        <v>584</v>
      </c>
      <c r="C104" s="17" t="s">
        <v>939</v>
      </c>
      <c r="D104" s="4" t="s">
        <v>1875</v>
      </c>
      <c r="E104" s="4" t="s">
        <v>1771</v>
      </c>
      <c r="F104" s="17">
        <v>2</v>
      </c>
      <c r="G104" s="17">
        <v>5</v>
      </c>
      <c r="H104" s="17">
        <f t="shared" si="6"/>
        <v>10</v>
      </c>
      <c r="I104" s="17" t="str">
        <f t="shared" si="7"/>
        <v>Medium</v>
      </c>
      <c r="J104" s="4" t="s">
        <v>1772</v>
      </c>
      <c r="K104" s="4" t="s">
        <v>1773</v>
      </c>
      <c r="L104" s="16">
        <v>46209</v>
      </c>
      <c r="M104" s="4" t="s">
        <v>1332</v>
      </c>
    </row>
    <row r="105" spans="1:13">
      <c r="A105" s="17" t="s">
        <v>589</v>
      </c>
      <c r="B105" s="17" t="s">
        <v>587</v>
      </c>
      <c r="C105" s="17" t="s">
        <v>904</v>
      </c>
      <c r="D105" s="4" t="s">
        <v>1876</v>
      </c>
      <c r="E105" s="4" t="s">
        <v>1771</v>
      </c>
      <c r="F105" s="17">
        <v>5</v>
      </c>
      <c r="G105" s="17">
        <v>3</v>
      </c>
      <c r="H105" s="17">
        <f t="shared" si="6"/>
        <v>15</v>
      </c>
      <c r="I105" s="17" t="str">
        <f t="shared" si="7"/>
        <v>High</v>
      </c>
      <c r="J105" s="4" t="s">
        <v>1772</v>
      </c>
      <c r="K105" s="4" t="s">
        <v>1773</v>
      </c>
      <c r="L105" s="16">
        <v>46216</v>
      </c>
      <c r="M105" s="4" t="s">
        <v>1332</v>
      </c>
    </row>
    <row r="106" spans="1:13">
      <c r="A106" s="17" t="s">
        <v>592</v>
      </c>
      <c r="B106" s="17" t="s">
        <v>590</v>
      </c>
      <c r="C106" s="17" t="s">
        <v>923</v>
      </c>
      <c r="D106" s="4" t="s">
        <v>1877</v>
      </c>
      <c r="E106" s="4" t="s">
        <v>1771</v>
      </c>
      <c r="F106" s="17">
        <v>4</v>
      </c>
      <c r="G106" s="17">
        <v>4</v>
      </c>
      <c r="H106" s="17">
        <f t="shared" si="6"/>
        <v>16</v>
      </c>
      <c r="I106" s="17" t="str">
        <f t="shared" si="7"/>
        <v>High</v>
      </c>
      <c r="J106" s="4" t="s">
        <v>1772</v>
      </c>
      <c r="K106" s="4" t="s">
        <v>1773</v>
      </c>
      <c r="L106" s="16">
        <v>46223</v>
      </c>
      <c r="M106" s="4" t="s">
        <v>1348</v>
      </c>
    </row>
    <row r="107" spans="1:13">
      <c r="A107" s="17" t="s">
        <v>595</v>
      </c>
      <c r="B107" s="17" t="s">
        <v>593</v>
      </c>
      <c r="C107" s="17" t="s">
        <v>926</v>
      </c>
      <c r="D107" s="4" t="s">
        <v>1878</v>
      </c>
      <c r="E107" s="4" t="s">
        <v>1771</v>
      </c>
      <c r="F107" s="17">
        <v>3</v>
      </c>
      <c r="G107" s="17">
        <v>3</v>
      </c>
      <c r="H107" s="17">
        <f t="shared" si="6"/>
        <v>9</v>
      </c>
      <c r="I107" s="17" t="str">
        <f t="shared" si="7"/>
        <v>Medium</v>
      </c>
      <c r="J107" s="4" t="s">
        <v>1772</v>
      </c>
      <c r="K107" s="4" t="s">
        <v>1773</v>
      </c>
      <c r="L107" s="16">
        <v>46230</v>
      </c>
      <c r="M107" s="4" t="s">
        <v>1332</v>
      </c>
    </row>
    <row r="108" spans="1:13">
      <c r="A108" s="17" t="s">
        <v>598</v>
      </c>
      <c r="B108" s="17" t="s">
        <v>596</v>
      </c>
      <c r="C108" s="17" t="s">
        <v>902</v>
      </c>
      <c r="D108" s="4" t="s">
        <v>1879</v>
      </c>
      <c r="E108" s="4" t="s">
        <v>1771</v>
      </c>
      <c r="F108" s="17">
        <v>2</v>
      </c>
      <c r="G108" s="17">
        <v>2</v>
      </c>
      <c r="H108" s="17">
        <f t="shared" si="6"/>
        <v>4</v>
      </c>
      <c r="I108" s="17" t="str">
        <f t="shared" si="7"/>
        <v>Low</v>
      </c>
      <c r="J108" s="4" t="s">
        <v>1772</v>
      </c>
      <c r="K108" s="4" t="s">
        <v>1773</v>
      </c>
      <c r="L108" s="16">
        <v>46237</v>
      </c>
      <c r="M108" s="4" t="s">
        <v>1332</v>
      </c>
    </row>
    <row r="109" spans="1:13">
      <c r="A109" s="17" t="s">
        <v>601</v>
      </c>
      <c r="B109" s="17" t="s">
        <v>599</v>
      </c>
      <c r="C109" s="17" t="s">
        <v>915</v>
      </c>
      <c r="D109" s="4" t="s">
        <v>1880</v>
      </c>
      <c r="E109" s="4" t="s">
        <v>1771</v>
      </c>
      <c r="F109" s="17">
        <v>5</v>
      </c>
      <c r="G109" s="17">
        <v>5</v>
      </c>
      <c r="H109" s="17">
        <f t="shared" si="6"/>
        <v>25</v>
      </c>
      <c r="I109" s="17" t="str">
        <f t="shared" si="7"/>
        <v>Critical</v>
      </c>
      <c r="J109" s="4" t="s">
        <v>1772</v>
      </c>
      <c r="K109" s="4" t="s">
        <v>1773</v>
      </c>
      <c r="L109" s="16">
        <v>46244</v>
      </c>
      <c r="M109" s="4" t="s">
        <v>1332</v>
      </c>
    </row>
    <row r="110" spans="1:13">
      <c r="A110" s="17" t="s">
        <v>604</v>
      </c>
      <c r="B110" s="17" t="s">
        <v>602</v>
      </c>
      <c r="C110" s="17" t="s">
        <v>873</v>
      </c>
      <c r="D110" s="4" t="s">
        <v>1881</v>
      </c>
      <c r="E110" s="4" t="s">
        <v>1771</v>
      </c>
      <c r="F110" s="17">
        <v>4</v>
      </c>
      <c r="G110" s="17">
        <v>3</v>
      </c>
      <c r="H110" s="17">
        <f t="shared" si="6"/>
        <v>12</v>
      </c>
      <c r="I110" s="17" t="str">
        <f t="shared" si="7"/>
        <v>High</v>
      </c>
      <c r="J110" s="4" t="s">
        <v>1772</v>
      </c>
      <c r="K110" s="4" t="s">
        <v>1773</v>
      </c>
      <c r="L110" s="16">
        <v>46251</v>
      </c>
      <c r="M110" s="4" t="s">
        <v>1332</v>
      </c>
    </row>
    <row r="111" spans="1:13">
      <c r="A111" s="17" t="s">
        <v>607</v>
      </c>
      <c r="B111" s="17" t="s">
        <v>605</v>
      </c>
      <c r="C111" s="17" t="s">
        <v>878</v>
      </c>
      <c r="D111" s="4" t="s">
        <v>1882</v>
      </c>
      <c r="E111" s="4" t="s">
        <v>1771</v>
      </c>
      <c r="F111" s="17">
        <v>3</v>
      </c>
      <c r="G111" s="17">
        <v>4</v>
      </c>
      <c r="H111" s="17">
        <f t="shared" si="6"/>
        <v>12</v>
      </c>
      <c r="I111" s="17" t="str">
        <f t="shared" si="7"/>
        <v>High</v>
      </c>
      <c r="J111" s="4" t="s">
        <v>1772</v>
      </c>
      <c r="K111" s="4" t="s">
        <v>1773</v>
      </c>
      <c r="L111" s="16">
        <v>46258</v>
      </c>
      <c r="M111" s="4" t="s">
        <v>1332</v>
      </c>
    </row>
    <row r="112" spans="1:13">
      <c r="A112" s="17" t="s">
        <v>610</v>
      </c>
      <c r="B112" s="17" t="s">
        <v>608</v>
      </c>
      <c r="C112" s="17" t="s">
        <v>939</v>
      </c>
      <c r="D112" s="4" t="s">
        <v>1883</v>
      </c>
      <c r="E112" s="4" t="s">
        <v>1771</v>
      </c>
      <c r="F112" s="17">
        <v>2</v>
      </c>
      <c r="G112" s="17">
        <v>3</v>
      </c>
      <c r="H112" s="17">
        <f t="shared" si="6"/>
        <v>6</v>
      </c>
      <c r="I112" s="17" t="str">
        <f t="shared" si="7"/>
        <v>Medium</v>
      </c>
      <c r="J112" s="4" t="s">
        <v>1772</v>
      </c>
      <c r="K112" s="4" t="s">
        <v>1773</v>
      </c>
      <c r="L112" s="16">
        <v>46265</v>
      </c>
      <c r="M112" s="4" t="s">
        <v>1332</v>
      </c>
    </row>
    <row r="113" spans="1:13">
      <c r="A113" s="17" t="s">
        <v>613</v>
      </c>
      <c r="B113" s="17" t="s">
        <v>611</v>
      </c>
      <c r="C113" s="17" t="s">
        <v>904</v>
      </c>
      <c r="D113" s="4" t="s">
        <v>1884</v>
      </c>
      <c r="E113" s="4" t="s">
        <v>1771</v>
      </c>
      <c r="F113" s="17">
        <v>5</v>
      </c>
      <c r="G113" s="17">
        <v>2</v>
      </c>
      <c r="H113" s="17">
        <f t="shared" si="6"/>
        <v>10</v>
      </c>
      <c r="I113" s="17" t="str">
        <f t="shared" si="7"/>
        <v>Medium</v>
      </c>
      <c r="J113" s="4" t="s">
        <v>1772</v>
      </c>
      <c r="K113" s="4" t="s">
        <v>1773</v>
      </c>
      <c r="L113" s="16">
        <v>46272</v>
      </c>
      <c r="M113" s="4" t="s">
        <v>1348</v>
      </c>
    </row>
    <row r="114" spans="1:13">
      <c r="A114" s="17" t="s">
        <v>616</v>
      </c>
      <c r="B114" s="17" t="s">
        <v>614</v>
      </c>
      <c r="C114" s="17" t="s">
        <v>923</v>
      </c>
      <c r="D114" s="4" t="s">
        <v>1885</v>
      </c>
      <c r="E114" s="4" t="s">
        <v>1771</v>
      </c>
      <c r="F114" s="17">
        <v>4</v>
      </c>
      <c r="G114" s="17">
        <v>5</v>
      </c>
      <c r="H114" s="17">
        <f t="shared" si="6"/>
        <v>20</v>
      </c>
      <c r="I114" s="17" t="str">
        <f t="shared" si="7"/>
        <v>Critical</v>
      </c>
      <c r="J114" s="4" t="s">
        <v>1772</v>
      </c>
      <c r="K114" s="4" t="s">
        <v>1773</v>
      </c>
      <c r="L114" s="16">
        <v>46279</v>
      </c>
      <c r="M114" s="4" t="s">
        <v>1332</v>
      </c>
    </row>
    <row r="115" spans="1:13">
      <c r="A115" s="17" t="s">
        <v>619</v>
      </c>
      <c r="B115" s="17" t="s">
        <v>617</v>
      </c>
      <c r="C115" s="17" t="s">
        <v>926</v>
      </c>
      <c r="D115" s="4" t="s">
        <v>1886</v>
      </c>
      <c r="E115" s="4" t="s">
        <v>1771</v>
      </c>
      <c r="F115" s="17">
        <v>3</v>
      </c>
      <c r="G115" s="17">
        <v>3</v>
      </c>
      <c r="H115" s="17">
        <f t="shared" si="6"/>
        <v>9</v>
      </c>
      <c r="I115" s="17" t="str">
        <f t="shared" si="7"/>
        <v>Medium</v>
      </c>
      <c r="J115" s="4" t="s">
        <v>1772</v>
      </c>
      <c r="K115" s="4" t="s">
        <v>1773</v>
      </c>
      <c r="L115" s="16">
        <v>46286</v>
      </c>
      <c r="M115" s="4" t="s">
        <v>1332</v>
      </c>
    </row>
    <row r="116" spans="1:13">
      <c r="A116" s="17" t="s">
        <v>622</v>
      </c>
      <c r="B116" s="17" t="s">
        <v>620</v>
      </c>
      <c r="C116" s="17" t="s">
        <v>902</v>
      </c>
      <c r="D116" s="4" t="s">
        <v>1887</v>
      </c>
      <c r="E116" s="4" t="s">
        <v>1771</v>
      </c>
      <c r="F116" s="17">
        <v>2</v>
      </c>
      <c r="G116" s="17">
        <v>4</v>
      </c>
      <c r="H116" s="17">
        <f t="shared" si="6"/>
        <v>8</v>
      </c>
      <c r="I116" s="17" t="str">
        <f t="shared" si="7"/>
        <v>Medium</v>
      </c>
      <c r="J116" s="4" t="s">
        <v>1772</v>
      </c>
      <c r="K116" s="4" t="s">
        <v>1773</v>
      </c>
      <c r="L116" s="16">
        <v>46293</v>
      </c>
      <c r="M116" s="4" t="s">
        <v>1332</v>
      </c>
    </row>
    <row r="117" spans="1:13">
      <c r="A117" s="17" t="s">
        <v>625</v>
      </c>
      <c r="B117" s="17" t="s">
        <v>623</v>
      </c>
      <c r="C117" s="17" t="s">
        <v>915</v>
      </c>
      <c r="D117" s="4" t="s">
        <v>1888</v>
      </c>
      <c r="E117" s="4" t="s">
        <v>1771</v>
      </c>
      <c r="F117" s="17">
        <v>5</v>
      </c>
      <c r="G117" s="17">
        <v>3</v>
      </c>
      <c r="H117" s="17">
        <f t="shared" si="6"/>
        <v>15</v>
      </c>
      <c r="I117" s="17" t="str">
        <f t="shared" si="7"/>
        <v>High</v>
      </c>
      <c r="J117" s="4" t="s">
        <v>1772</v>
      </c>
      <c r="K117" s="4" t="s">
        <v>1773</v>
      </c>
      <c r="L117" s="16">
        <v>46300</v>
      </c>
      <c r="M117" s="4" t="s">
        <v>1332</v>
      </c>
    </row>
    <row r="118" spans="1:13">
      <c r="A118" s="17" t="s">
        <v>628</v>
      </c>
      <c r="B118" s="17" t="s">
        <v>626</v>
      </c>
      <c r="C118" s="17" t="s">
        <v>873</v>
      </c>
      <c r="D118" s="4" t="s">
        <v>1889</v>
      </c>
      <c r="E118" s="4" t="s">
        <v>1771</v>
      </c>
      <c r="F118" s="17">
        <v>4</v>
      </c>
      <c r="G118" s="17">
        <v>2</v>
      </c>
      <c r="H118" s="17">
        <f t="shared" si="6"/>
        <v>8</v>
      </c>
      <c r="I118" s="17" t="str">
        <f t="shared" si="7"/>
        <v>Medium</v>
      </c>
      <c r="J118" s="4" t="s">
        <v>1772</v>
      </c>
      <c r="K118" s="4" t="s">
        <v>1773</v>
      </c>
      <c r="L118" s="16">
        <v>46307</v>
      </c>
      <c r="M118" s="4" t="s">
        <v>1332</v>
      </c>
    </row>
    <row r="119" spans="1:13">
      <c r="A119" s="17" t="s">
        <v>631</v>
      </c>
      <c r="B119" s="17" t="s">
        <v>629</v>
      </c>
      <c r="C119" s="17" t="s">
        <v>878</v>
      </c>
      <c r="D119" s="4" t="s">
        <v>1890</v>
      </c>
      <c r="E119" s="4" t="s">
        <v>1771</v>
      </c>
      <c r="F119" s="17">
        <v>3</v>
      </c>
      <c r="G119" s="17">
        <v>5</v>
      </c>
      <c r="H119" s="17">
        <f t="shared" si="6"/>
        <v>15</v>
      </c>
      <c r="I119" s="17" t="str">
        <f t="shared" si="7"/>
        <v>High</v>
      </c>
      <c r="J119" s="4" t="s">
        <v>1772</v>
      </c>
      <c r="K119" s="4" t="s">
        <v>1773</v>
      </c>
      <c r="L119" s="16">
        <v>46314</v>
      </c>
      <c r="M119" s="4" t="s">
        <v>1332</v>
      </c>
    </row>
    <row r="120" spans="1:13">
      <c r="A120" s="17" t="s">
        <v>634</v>
      </c>
      <c r="B120" s="17" t="s">
        <v>632</v>
      </c>
      <c r="C120" s="17" t="s">
        <v>939</v>
      </c>
      <c r="D120" s="4" t="s">
        <v>1891</v>
      </c>
      <c r="E120" s="4" t="s">
        <v>1771</v>
      </c>
      <c r="F120" s="17">
        <v>2</v>
      </c>
      <c r="G120" s="17">
        <v>3</v>
      </c>
      <c r="H120" s="17">
        <f t="shared" si="6"/>
        <v>6</v>
      </c>
      <c r="I120" s="17" t="str">
        <f t="shared" si="7"/>
        <v>Medium</v>
      </c>
      <c r="J120" s="4" t="s">
        <v>1772</v>
      </c>
      <c r="K120" s="4" t="s">
        <v>1773</v>
      </c>
      <c r="L120" s="16">
        <v>46321</v>
      </c>
      <c r="M120" s="4" t="s">
        <v>1348</v>
      </c>
    </row>
    <row r="121" spans="1:13">
      <c r="A121" s="17" t="s">
        <v>637</v>
      </c>
      <c r="B121" s="17" t="s">
        <v>635</v>
      </c>
      <c r="C121" s="17" t="s">
        <v>904</v>
      </c>
      <c r="D121" s="4" t="s">
        <v>1892</v>
      </c>
      <c r="E121" s="4" t="s">
        <v>1771</v>
      </c>
      <c r="F121" s="17">
        <v>5</v>
      </c>
      <c r="G121" s="17">
        <v>4</v>
      </c>
      <c r="H121" s="17">
        <f t="shared" si="6"/>
        <v>20</v>
      </c>
      <c r="I121" s="17" t="str">
        <f t="shared" si="7"/>
        <v>Critical</v>
      </c>
      <c r="J121" s="4" t="s">
        <v>1772</v>
      </c>
      <c r="K121" s="4" t="s">
        <v>1773</v>
      </c>
      <c r="L121" s="16">
        <v>46188</v>
      </c>
      <c r="M121" s="4" t="s">
        <v>1332</v>
      </c>
    </row>
    <row r="122" spans="1:13">
      <c r="A122" s="17" t="s">
        <v>640</v>
      </c>
      <c r="B122" s="17" t="s">
        <v>638</v>
      </c>
      <c r="C122" s="17" t="s">
        <v>923</v>
      </c>
      <c r="D122" s="4" t="s">
        <v>1893</v>
      </c>
      <c r="E122" s="4" t="s">
        <v>1771</v>
      </c>
      <c r="F122" s="17">
        <v>4</v>
      </c>
      <c r="G122" s="17">
        <v>3</v>
      </c>
      <c r="H122" s="17">
        <f t="shared" si="6"/>
        <v>12</v>
      </c>
      <c r="I122" s="17" t="str">
        <f t="shared" si="7"/>
        <v>High</v>
      </c>
      <c r="J122" s="4" t="s">
        <v>1772</v>
      </c>
      <c r="K122" s="4" t="s">
        <v>1773</v>
      </c>
      <c r="L122" s="16">
        <v>46195</v>
      </c>
      <c r="M122" s="4" t="s">
        <v>1332</v>
      </c>
    </row>
    <row r="123" spans="1:13">
      <c r="A123" s="17" t="s">
        <v>646</v>
      </c>
      <c r="B123" s="17" t="s">
        <v>641</v>
      </c>
      <c r="C123" s="17" t="s">
        <v>930</v>
      </c>
      <c r="D123" s="4" t="s">
        <v>1894</v>
      </c>
      <c r="E123" s="4" t="s">
        <v>1771</v>
      </c>
      <c r="F123" s="17">
        <v>3</v>
      </c>
      <c r="G123" s="17">
        <v>2</v>
      </c>
      <c r="H123" s="17">
        <f t="shared" si="6"/>
        <v>6</v>
      </c>
      <c r="I123" s="17" t="str">
        <f t="shared" si="7"/>
        <v>Medium</v>
      </c>
      <c r="J123" s="4" t="s">
        <v>1772</v>
      </c>
      <c r="K123" s="4" t="s">
        <v>1773</v>
      </c>
      <c r="L123" s="16">
        <v>46202</v>
      </c>
      <c r="M123" s="4" t="s">
        <v>1332</v>
      </c>
    </row>
    <row r="124" spans="1:13">
      <c r="A124" s="17" t="s">
        <v>651</v>
      </c>
      <c r="B124" s="17" t="s">
        <v>647</v>
      </c>
      <c r="C124" s="17" t="s">
        <v>876</v>
      </c>
      <c r="D124" s="4" t="s">
        <v>1895</v>
      </c>
      <c r="E124" s="4" t="s">
        <v>1771</v>
      </c>
      <c r="F124" s="17">
        <v>2</v>
      </c>
      <c r="G124" s="17">
        <v>5</v>
      </c>
      <c r="H124" s="17">
        <f t="shared" si="6"/>
        <v>10</v>
      </c>
      <c r="I124" s="17" t="str">
        <f t="shared" si="7"/>
        <v>Medium</v>
      </c>
      <c r="J124" s="4" t="s">
        <v>1772</v>
      </c>
      <c r="K124" s="4" t="s">
        <v>1773</v>
      </c>
      <c r="L124" s="16">
        <v>46209</v>
      </c>
      <c r="M124" s="4" t="s">
        <v>1332</v>
      </c>
    </row>
    <row r="125" spans="1:13">
      <c r="A125" s="17" t="s">
        <v>656</v>
      </c>
      <c r="B125" s="17" t="s">
        <v>652</v>
      </c>
      <c r="C125" s="17" t="s">
        <v>860</v>
      </c>
      <c r="D125" s="4" t="s">
        <v>1896</v>
      </c>
      <c r="E125" s="4" t="s">
        <v>1771</v>
      </c>
      <c r="F125" s="17">
        <v>5</v>
      </c>
      <c r="G125" s="17">
        <v>3</v>
      </c>
      <c r="H125" s="17">
        <f t="shared" si="6"/>
        <v>15</v>
      </c>
      <c r="I125" s="17" t="str">
        <f t="shared" si="7"/>
        <v>High</v>
      </c>
      <c r="J125" s="4" t="s">
        <v>1772</v>
      </c>
      <c r="K125" s="4" t="s">
        <v>1773</v>
      </c>
      <c r="L125" s="16">
        <v>46216</v>
      </c>
      <c r="M125" s="4" t="s">
        <v>1332</v>
      </c>
    </row>
    <row r="126" spans="1:13">
      <c r="A126" s="17" t="s">
        <v>661</v>
      </c>
      <c r="B126" s="17" t="s">
        <v>657</v>
      </c>
      <c r="C126" s="17" t="s">
        <v>932</v>
      </c>
      <c r="D126" s="4" t="s">
        <v>1897</v>
      </c>
      <c r="E126" s="4" t="s">
        <v>1771</v>
      </c>
      <c r="F126" s="17">
        <v>4</v>
      </c>
      <c r="G126" s="17">
        <v>4</v>
      </c>
      <c r="H126" s="17">
        <f t="shared" si="6"/>
        <v>16</v>
      </c>
      <c r="I126" s="17" t="str">
        <f t="shared" si="7"/>
        <v>High</v>
      </c>
      <c r="J126" s="4" t="s">
        <v>1772</v>
      </c>
      <c r="K126" s="4" t="s">
        <v>1773</v>
      </c>
      <c r="L126" s="16">
        <v>46223</v>
      </c>
      <c r="M126" s="4" t="s">
        <v>1332</v>
      </c>
    </row>
    <row r="127" spans="1:13">
      <c r="A127" s="17" t="s">
        <v>666</v>
      </c>
      <c r="B127" s="17" t="s">
        <v>662</v>
      </c>
      <c r="C127" s="17" t="s">
        <v>923</v>
      </c>
      <c r="D127" s="4" t="s">
        <v>1898</v>
      </c>
      <c r="E127" s="4" t="s">
        <v>1771</v>
      </c>
      <c r="F127" s="17">
        <v>3</v>
      </c>
      <c r="G127" s="17">
        <v>3</v>
      </c>
      <c r="H127" s="17">
        <f t="shared" si="6"/>
        <v>9</v>
      </c>
      <c r="I127" s="17" t="str">
        <f t="shared" si="7"/>
        <v>Medium</v>
      </c>
      <c r="J127" s="4" t="s">
        <v>1772</v>
      </c>
      <c r="K127" s="4" t="s">
        <v>1773</v>
      </c>
      <c r="L127" s="16">
        <v>46230</v>
      </c>
      <c r="M127" s="4" t="s">
        <v>1348</v>
      </c>
    </row>
    <row r="128" spans="1:13">
      <c r="A128" s="17" t="s">
        <v>669</v>
      </c>
      <c r="B128" s="17" t="s">
        <v>667</v>
      </c>
      <c r="C128" s="17" t="s">
        <v>930</v>
      </c>
      <c r="D128" s="4" t="s">
        <v>1899</v>
      </c>
      <c r="E128" s="4" t="s">
        <v>1771</v>
      </c>
      <c r="F128" s="17">
        <v>2</v>
      </c>
      <c r="G128" s="17">
        <v>2</v>
      </c>
      <c r="H128" s="17">
        <f t="shared" si="6"/>
        <v>4</v>
      </c>
      <c r="I128" s="17" t="str">
        <f t="shared" si="7"/>
        <v>Low</v>
      </c>
      <c r="J128" s="4" t="s">
        <v>1772</v>
      </c>
      <c r="K128" s="4" t="s">
        <v>1773</v>
      </c>
      <c r="L128" s="16">
        <v>46237</v>
      </c>
      <c r="M128" s="4" t="s">
        <v>1332</v>
      </c>
    </row>
    <row r="129" spans="1:13">
      <c r="A129" s="17" t="s">
        <v>672</v>
      </c>
      <c r="B129" s="17" t="s">
        <v>670</v>
      </c>
      <c r="C129" s="17" t="s">
        <v>876</v>
      </c>
      <c r="D129" s="4" t="s">
        <v>1900</v>
      </c>
      <c r="E129" s="4" t="s">
        <v>1771</v>
      </c>
      <c r="F129" s="17">
        <v>5</v>
      </c>
      <c r="G129" s="17">
        <v>5</v>
      </c>
      <c r="H129" s="17">
        <f t="shared" si="6"/>
        <v>25</v>
      </c>
      <c r="I129" s="17" t="str">
        <f t="shared" si="7"/>
        <v>Critical</v>
      </c>
      <c r="J129" s="4" t="s">
        <v>1772</v>
      </c>
      <c r="K129" s="4" t="s">
        <v>1773</v>
      </c>
      <c r="L129" s="16">
        <v>46244</v>
      </c>
      <c r="M129" s="4" t="s">
        <v>1332</v>
      </c>
    </row>
    <row r="130" spans="1:13">
      <c r="A130" s="17" t="s">
        <v>675</v>
      </c>
      <c r="B130" s="17" t="s">
        <v>673</v>
      </c>
      <c r="C130" s="17" t="s">
        <v>860</v>
      </c>
      <c r="D130" s="4" t="s">
        <v>1901</v>
      </c>
      <c r="E130" s="4" t="s">
        <v>1771</v>
      </c>
      <c r="F130" s="17">
        <v>4</v>
      </c>
      <c r="G130" s="17">
        <v>3</v>
      </c>
      <c r="H130" s="17">
        <f t="shared" ref="H130:H161" si="8">F130*G130</f>
        <v>12</v>
      </c>
      <c r="I130" s="17" t="str">
        <f t="shared" ref="I130:I161" si="9">IF(H130&gt;=20,"Critical",IF(H130&gt;=12,"High",IF(H130&gt;=6,"Medium","Low")))</f>
        <v>High</v>
      </c>
      <c r="J130" s="4" t="s">
        <v>1772</v>
      </c>
      <c r="K130" s="4" t="s">
        <v>1773</v>
      </c>
      <c r="L130" s="16">
        <v>46251</v>
      </c>
      <c r="M130" s="4" t="s">
        <v>1332</v>
      </c>
    </row>
    <row r="131" spans="1:13">
      <c r="A131" s="17" t="s">
        <v>678</v>
      </c>
      <c r="B131" s="17" t="s">
        <v>676</v>
      </c>
      <c r="C131" s="17" t="s">
        <v>932</v>
      </c>
      <c r="D131" s="4" t="s">
        <v>1902</v>
      </c>
      <c r="E131" s="4" t="s">
        <v>1771</v>
      </c>
      <c r="F131" s="17">
        <v>3</v>
      </c>
      <c r="G131" s="17">
        <v>4</v>
      </c>
      <c r="H131" s="17">
        <f t="shared" si="8"/>
        <v>12</v>
      </c>
      <c r="I131" s="17" t="str">
        <f t="shared" si="9"/>
        <v>High</v>
      </c>
      <c r="J131" s="4" t="s">
        <v>1772</v>
      </c>
      <c r="K131" s="4" t="s">
        <v>1773</v>
      </c>
      <c r="L131" s="16">
        <v>46258</v>
      </c>
      <c r="M131" s="4" t="s">
        <v>1332</v>
      </c>
    </row>
    <row r="132" spans="1:13">
      <c r="A132" s="17" t="s">
        <v>681</v>
      </c>
      <c r="B132" s="17" t="s">
        <v>679</v>
      </c>
      <c r="C132" s="17" t="s">
        <v>923</v>
      </c>
      <c r="D132" s="4" t="s">
        <v>1903</v>
      </c>
      <c r="E132" s="4" t="s">
        <v>1771</v>
      </c>
      <c r="F132" s="17">
        <v>2</v>
      </c>
      <c r="G132" s="17">
        <v>3</v>
      </c>
      <c r="H132" s="17">
        <f t="shared" si="8"/>
        <v>6</v>
      </c>
      <c r="I132" s="17" t="str">
        <f t="shared" si="9"/>
        <v>Medium</v>
      </c>
      <c r="J132" s="4" t="s">
        <v>1772</v>
      </c>
      <c r="K132" s="4" t="s">
        <v>1773</v>
      </c>
      <c r="L132" s="16">
        <v>46265</v>
      </c>
      <c r="M132" s="4" t="s">
        <v>1332</v>
      </c>
    </row>
    <row r="133" spans="1:13">
      <c r="A133" s="17" t="s">
        <v>684</v>
      </c>
      <c r="B133" s="17" t="s">
        <v>682</v>
      </c>
      <c r="C133" s="17" t="s">
        <v>930</v>
      </c>
      <c r="D133" s="4" t="s">
        <v>1904</v>
      </c>
      <c r="E133" s="4" t="s">
        <v>1771</v>
      </c>
      <c r="F133" s="17">
        <v>5</v>
      </c>
      <c r="G133" s="17">
        <v>2</v>
      </c>
      <c r="H133" s="17">
        <f t="shared" si="8"/>
        <v>10</v>
      </c>
      <c r="I133" s="17" t="str">
        <f t="shared" si="9"/>
        <v>Medium</v>
      </c>
      <c r="J133" s="4" t="s">
        <v>1772</v>
      </c>
      <c r="K133" s="4" t="s">
        <v>1773</v>
      </c>
      <c r="L133" s="16">
        <v>46272</v>
      </c>
      <c r="M133" s="4" t="s">
        <v>1332</v>
      </c>
    </row>
    <row r="134" spans="1:13">
      <c r="A134" s="17" t="s">
        <v>687</v>
      </c>
      <c r="B134" s="17" t="s">
        <v>685</v>
      </c>
      <c r="C134" s="17" t="s">
        <v>876</v>
      </c>
      <c r="D134" s="4" t="s">
        <v>1905</v>
      </c>
      <c r="E134" s="4" t="s">
        <v>1771</v>
      </c>
      <c r="F134" s="17">
        <v>4</v>
      </c>
      <c r="G134" s="17">
        <v>5</v>
      </c>
      <c r="H134" s="17">
        <f t="shared" si="8"/>
        <v>20</v>
      </c>
      <c r="I134" s="17" t="str">
        <f t="shared" si="9"/>
        <v>Critical</v>
      </c>
      <c r="J134" s="4" t="s">
        <v>1772</v>
      </c>
      <c r="K134" s="4" t="s">
        <v>1773</v>
      </c>
      <c r="L134" s="16">
        <v>46279</v>
      </c>
      <c r="M134" s="4" t="s">
        <v>1348</v>
      </c>
    </row>
    <row r="135" spans="1:13">
      <c r="A135" s="17" t="s">
        <v>690</v>
      </c>
      <c r="B135" s="17" t="s">
        <v>688</v>
      </c>
      <c r="C135" s="17" t="s">
        <v>860</v>
      </c>
      <c r="D135" s="4" t="s">
        <v>1906</v>
      </c>
      <c r="E135" s="4" t="s">
        <v>1771</v>
      </c>
      <c r="F135" s="17">
        <v>3</v>
      </c>
      <c r="G135" s="17">
        <v>3</v>
      </c>
      <c r="H135" s="17">
        <f t="shared" si="8"/>
        <v>9</v>
      </c>
      <c r="I135" s="17" t="str">
        <f t="shared" si="9"/>
        <v>Medium</v>
      </c>
      <c r="J135" s="4" t="s">
        <v>1772</v>
      </c>
      <c r="K135" s="4" t="s">
        <v>1773</v>
      </c>
      <c r="L135" s="16">
        <v>46286</v>
      </c>
      <c r="M135" s="4" t="s">
        <v>1332</v>
      </c>
    </row>
    <row r="136" spans="1:13">
      <c r="A136" s="17" t="s">
        <v>693</v>
      </c>
      <c r="B136" s="17" t="s">
        <v>691</v>
      </c>
      <c r="C136" s="17" t="s">
        <v>932</v>
      </c>
      <c r="D136" s="4" t="s">
        <v>1907</v>
      </c>
      <c r="E136" s="4" t="s">
        <v>1771</v>
      </c>
      <c r="F136" s="17">
        <v>2</v>
      </c>
      <c r="G136" s="17">
        <v>4</v>
      </c>
      <c r="H136" s="17">
        <f t="shared" si="8"/>
        <v>8</v>
      </c>
      <c r="I136" s="17" t="str">
        <f t="shared" si="9"/>
        <v>Medium</v>
      </c>
      <c r="J136" s="4" t="s">
        <v>1772</v>
      </c>
      <c r="K136" s="4" t="s">
        <v>1773</v>
      </c>
      <c r="L136" s="16">
        <v>46293</v>
      </c>
      <c r="M136" s="4" t="s">
        <v>1332</v>
      </c>
    </row>
    <row r="137" spans="1:13">
      <c r="A137" s="17" t="s">
        <v>696</v>
      </c>
      <c r="B137" s="17" t="s">
        <v>694</v>
      </c>
      <c r="C137" s="17" t="s">
        <v>923</v>
      </c>
      <c r="D137" s="4" t="s">
        <v>1908</v>
      </c>
      <c r="E137" s="4" t="s">
        <v>1771</v>
      </c>
      <c r="F137" s="17">
        <v>5</v>
      </c>
      <c r="G137" s="17">
        <v>3</v>
      </c>
      <c r="H137" s="17">
        <f t="shared" si="8"/>
        <v>15</v>
      </c>
      <c r="I137" s="17" t="str">
        <f t="shared" si="9"/>
        <v>High</v>
      </c>
      <c r="J137" s="4" t="s">
        <v>1772</v>
      </c>
      <c r="K137" s="4" t="s">
        <v>1773</v>
      </c>
      <c r="L137" s="16">
        <v>46300</v>
      </c>
      <c r="M137" s="4" t="s">
        <v>1332</v>
      </c>
    </row>
    <row r="138" spans="1:13">
      <c r="A138" s="17" t="s">
        <v>699</v>
      </c>
      <c r="B138" s="17" t="s">
        <v>697</v>
      </c>
      <c r="C138" s="17" t="s">
        <v>930</v>
      </c>
      <c r="D138" s="4" t="s">
        <v>1909</v>
      </c>
      <c r="E138" s="4" t="s">
        <v>1771</v>
      </c>
      <c r="F138" s="17">
        <v>4</v>
      </c>
      <c r="G138" s="17">
        <v>2</v>
      </c>
      <c r="H138" s="17">
        <f t="shared" si="8"/>
        <v>8</v>
      </c>
      <c r="I138" s="17" t="str">
        <f t="shared" si="9"/>
        <v>Medium</v>
      </c>
      <c r="J138" s="4" t="s">
        <v>1772</v>
      </c>
      <c r="K138" s="4" t="s">
        <v>1773</v>
      </c>
      <c r="L138" s="16">
        <v>46307</v>
      </c>
      <c r="M138" s="4" t="s">
        <v>1332</v>
      </c>
    </row>
    <row r="139" spans="1:13">
      <c r="A139" s="17" t="s">
        <v>702</v>
      </c>
      <c r="B139" s="17" t="s">
        <v>700</v>
      </c>
      <c r="C139" s="17" t="s">
        <v>876</v>
      </c>
      <c r="D139" s="4" t="s">
        <v>1910</v>
      </c>
      <c r="E139" s="4" t="s">
        <v>1771</v>
      </c>
      <c r="F139" s="17">
        <v>3</v>
      </c>
      <c r="G139" s="17">
        <v>5</v>
      </c>
      <c r="H139" s="17">
        <f t="shared" si="8"/>
        <v>15</v>
      </c>
      <c r="I139" s="17" t="str">
        <f t="shared" si="9"/>
        <v>High</v>
      </c>
      <c r="J139" s="4" t="s">
        <v>1772</v>
      </c>
      <c r="K139" s="4" t="s">
        <v>1773</v>
      </c>
      <c r="L139" s="16">
        <v>46314</v>
      </c>
      <c r="M139" s="4" t="s">
        <v>1332</v>
      </c>
    </row>
    <row r="140" spans="1:13">
      <c r="A140" s="17" t="s">
        <v>705</v>
      </c>
      <c r="B140" s="17" t="s">
        <v>703</v>
      </c>
      <c r="C140" s="17" t="s">
        <v>860</v>
      </c>
      <c r="D140" s="4" t="s">
        <v>1911</v>
      </c>
      <c r="E140" s="4" t="s">
        <v>1771</v>
      </c>
      <c r="F140" s="17">
        <v>2</v>
      </c>
      <c r="G140" s="17">
        <v>3</v>
      </c>
      <c r="H140" s="17">
        <f t="shared" si="8"/>
        <v>6</v>
      </c>
      <c r="I140" s="17" t="str">
        <f t="shared" si="9"/>
        <v>Medium</v>
      </c>
      <c r="J140" s="4" t="s">
        <v>1772</v>
      </c>
      <c r="K140" s="4" t="s">
        <v>1773</v>
      </c>
      <c r="L140" s="16">
        <v>46321</v>
      </c>
      <c r="M140" s="4" t="s">
        <v>1332</v>
      </c>
    </row>
    <row r="141" spans="1:13">
      <c r="A141" s="17" t="s">
        <v>708</v>
      </c>
      <c r="B141" s="17" t="s">
        <v>706</v>
      </c>
      <c r="C141" s="17" t="s">
        <v>932</v>
      </c>
      <c r="D141" s="4" t="s">
        <v>1912</v>
      </c>
      <c r="E141" s="4" t="s">
        <v>1771</v>
      </c>
      <c r="F141" s="17">
        <v>5</v>
      </c>
      <c r="G141" s="17">
        <v>4</v>
      </c>
      <c r="H141" s="17">
        <f t="shared" si="8"/>
        <v>20</v>
      </c>
      <c r="I141" s="17" t="str">
        <f t="shared" si="9"/>
        <v>Critical</v>
      </c>
      <c r="J141" s="4" t="s">
        <v>1772</v>
      </c>
      <c r="K141" s="4" t="s">
        <v>1773</v>
      </c>
      <c r="L141" s="16">
        <v>46188</v>
      </c>
      <c r="M141" s="4" t="s">
        <v>1348</v>
      </c>
    </row>
    <row r="142" spans="1:13">
      <c r="A142" s="17" t="s">
        <v>711</v>
      </c>
      <c r="B142" s="17" t="s">
        <v>709</v>
      </c>
      <c r="C142" s="17" t="s">
        <v>923</v>
      </c>
      <c r="D142" s="4" t="s">
        <v>1913</v>
      </c>
      <c r="E142" s="4" t="s">
        <v>1771</v>
      </c>
      <c r="F142" s="17">
        <v>4</v>
      </c>
      <c r="G142" s="17">
        <v>3</v>
      </c>
      <c r="H142" s="17">
        <f t="shared" si="8"/>
        <v>12</v>
      </c>
      <c r="I142" s="17" t="str">
        <f t="shared" si="9"/>
        <v>High</v>
      </c>
      <c r="J142" s="4" t="s">
        <v>1772</v>
      </c>
      <c r="K142" s="4" t="s">
        <v>1773</v>
      </c>
      <c r="L142" s="16">
        <v>46195</v>
      </c>
      <c r="M142" s="4" t="s">
        <v>1332</v>
      </c>
    </row>
    <row r="143" spans="1:13">
      <c r="A143" s="17" t="s">
        <v>717</v>
      </c>
      <c r="B143" s="17" t="s">
        <v>712</v>
      </c>
      <c r="C143" s="17" t="s">
        <v>869</v>
      </c>
      <c r="D143" s="4" t="s">
        <v>1914</v>
      </c>
      <c r="E143" s="4" t="s">
        <v>1771</v>
      </c>
      <c r="F143" s="17">
        <v>3</v>
      </c>
      <c r="G143" s="17">
        <v>2</v>
      </c>
      <c r="H143" s="17">
        <f t="shared" si="8"/>
        <v>6</v>
      </c>
      <c r="I143" s="17" t="str">
        <f t="shared" si="9"/>
        <v>Medium</v>
      </c>
      <c r="J143" s="4" t="s">
        <v>1772</v>
      </c>
      <c r="K143" s="4" t="s">
        <v>1773</v>
      </c>
      <c r="L143" s="16">
        <v>46202</v>
      </c>
      <c r="M143" s="4" t="s">
        <v>1332</v>
      </c>
    </row>
    <row r="144" spans="1:13">
      <c r="A144" s="17" t="s">
        <v>722</v>
      </c>
      <c r="B144" s="17" t="s">
        <v>718</v>
      </c>
      <c r="C144" s="17" t="s">
        <v>884</v>
      </c>
      <c r="D144" s="4" t="s">
        <v>1915</v>
      </c>
      <c r="E144" s="4" t="s">
        <v>1771</v>
      </c>
      <c r="F144" s="17">
        <v>2</v>
      </c>
      <c r="G144" s="17">
        <v>5</v>
      </c>
      <c r="H144" s="17">
        <f t="shared" si="8"/>
        <v>10</v>
      </c>
      <c r="I144" s="17" t="str">
        <f t="shared" si="9"/>
        <v>Medium</v>
      </c>
      <c r="J144" s="4" t="s">
        <v>1772</v>
      </c>
      <c r="K144" s="4" t="s">
        <v>1773</v>
      </c>
      <c r="L144" s="16">
        <v>46209</v>
      </c>
      <c r="M144" s="4" t="s">
        <v>1332</v>
      </c>
    </row>
    <row r="145" spans="1:13">
      <c r="A145" s="17" t="s">
        <v>727</v>
      </c>
      <c r="B145" s="17" t="s">
        <v>723</v>
      </c>
      <c r="C145" s="17" t="s">
        <v>892</v>
      </c>
      <c r="D145" s="4" t="s">
        <v>1916</v>
      </c>
      <c r="E145" s="4" t="s">
        <v>1771</v>
      </c>
      <c r="F145" s="17">
        <v>5</v>
      </c>
      <c r="G145" s="17">
        <v>3</v>
      </c>
      <c r="H145" s="17">
        <f t="shared" si="8"/>
        <v>15</v>
      </c>
      <c r="I145" s="17" t="str">
        <f t="shared" si="9"/>
        <v>High</v>
      </c>
      <c r="J145" s="4" t="s">
        <v>1772</v>
      </c>
      <c r="K145" s="4" t="s">
        <v>1773</v>
      </c>
      <c r="L145" s="16">
        <v>46216</v>
      </c>
      <c r="M145" s="4" t="s">
        <v>1332</v>
      </c>
    </row>
    <row r="146" spans="1:13">
      <c r="A146" s="17" t="s">
        <v>732</v>
      </c>
      <c r="B146" s="17" t="s">
        <v>728</v>
      </c>
      <c r="C146" s="17" t="s">
        <v>894</v>
      </c>
      <c r="D146" s="4" t="s">
        <v>1917</v>
      </c>
      <c r="E146" s="4" t="s">
        <v>1771</v>
      </c>
      <c r="F146" s="17">
        <v>4</v>
      </c>
      <c r="G146" s="17">
        <v>4</v>
      </c>
      <c r="H146" s="17">
        <f t="shared" si="8"/>
        <v>16</v>
      </c>
      <c r="I146" s="17" t="str">
        <f t="shared" si="9"/>
        <v>High</v>
      </c>
      <c r="J146" s="4" t="s">
        <v>1772</v>
      </c>
      <c r="K146" s="4" t="s">
        <v>1773</v>
      </c>
      <c r="L146" s="16">
        <v>46223</v>
      </c>
      <c r="M146" s="4" t="s">
        <v>1332</v>
      </c>
    </row>
    <row r="147" spans="1:13">
      <c r="A147" s="17" t="s">
        <v>737</v>
      </c>
      <c r="B147" s="17" t="s">
        <v>733</v>
      </c>
      <c r="C147" s="17" t="s">
        <v>907</v>
      </c>
      <c r="D147" s="4" t="s">
        <v>1918</v>
      </c>
      <c r="E147" s="4" t="s">
        <v>1771</v>
      </c>
      <c r="F147" s="17">
        <v>3</v>
      </c>
      <c r="G147" s="17">
        <v>3</v>
      </c>
      <c r="H147" s="17">
        <f t="shared" si="8"/>
        <v>9</v>
      </c>
      <c r="I147" s="17" t="str">
        <f t="shared" si="9"/>
        <v>Medium</v>
      </c>
      <c r="J147" s="4" t="s">
        <v>1772</v>
      </c>
      <c r="K147" s="4" t="s">
        <v>1773</v>
      </c>
      <c r="L147" s="16">
        <v>46230</v>
      </c>
      <c r="M147" s="4" t="s">
        <v>1332</v>
      </c>
    </row>
    <row r="148" spans="1:13">
      <c r="A148" s="17" t="s">
        <v>741</v>
      </c>
      <c r="B148" s="17" t="s">
        <v>738</v>
      </c>
      <c r="C148" s="17" t="s">
        <v>909</v>
      </c>
      <c r="D148" s="4" t="s">
        <v>1919</v>
      </c>
      <c r="E148" s="4" t="s">
        <v>1771</v>
      </c>
      <c r="F148" s="17">
        <v>2</v>
      </c>
      <c r="G148" s="17">
        <v>2</v>
      </c>
      <c r="H148" s="17">
        <f t="shared" si="8"/>
        <v>4</v>
      </c>
      <c r="I148" s="17" t="str">
        <f t="shared" si="9"/>
        <v>Low</v>
      </c>
      <c r="J148" s="4" t="s">
        <v>1772</v>
      </c>
      <c r="K148" s="4" t="s">
        <v>1773</v>
      </c>
      <c r="L148" s="16">
        <v>46237</v>
      </c>
      <c r="M148" s="4" t="s">
        <v>1348</v>
      </c>
    </row>
    <row r="149" spans="1:13">
      <c r="A149" s="17" t="s">
        <v>744</v>
      </c>
      <c r="B149" s="17" t="s">
        <v>742</v>
      </c>
      <c r="C149" s="17" t="s">
        <v>869</v>
      </c>
      <c r="D149" s="4" t="s">
        <v>1920</v>
      </c>
      <c r="E149" s="4" t="s">
        <v>1771</v>
      </c>
      <c r="F149" s="17">
        <v>5</v>
      </c>
      <c r="G149" s="17">
        <v>5</v>
      </c>
      <c r="H149" s="17">
        <f t="shared" si="8"/>
        <v>25</v>
      </c>
      <c r="I149" s="17" t="str">
        <f t="shared" si="9"/>
        <v>Critical</v>
      </c>
      <c r="J149" s="4" t="s">
        <v>1772</v>
      </c>
      <c r="K149" s="4" t="s">
        <v>1773</v>
      </c>
      <c r="L149" s="16">
        <v>46244</v>
      </c>
      <c r="M149" s="4" t="s">
        <v>1332</v>
      </c>
    </row>
    <row r="150" spans="1:13">
      <c r="A150" s="17" t="s">
        <v>747</v>
      </c>
      <c r="B150" s="17" t="s">
        <v>745</v>
      </c>
      <c r="C150" s="17" t="s">
        <v>884</v>
      </c>
      <c r="D150" s="4" t="s">
        <v>1921</v>
      </c>
      <c r="E150" s="4" t="s">
        <v>1771</v>
      </c>
      <c r="F150" s="17">
        <v>4</v>
      </c>
      <c r="G150" s="17">
        <v>3</v>
      </c>
      <c r="H150" s="17">
        <f t="shared" si="8"/>
        <v>12</v>
      </c>
      <c r="I150" s="17" t="str">
        <f t="shared" si="9"/>
        <v>High</v>
      </c>
      <c r="J150" s="4" t="s">
        <v>1772</v>
      </c>
      <c r="K150" s="4" t="s">
        <v>1773</v>
      </c>
      <c r="L150" s="16">
        <v>46251</v>
      </c>
      <c r="M150" s="4" t="s">
        <v>1332</v>
      </c>
    </row>
    <row r="151" spans="1:13">
      <c r="A151" s="17" t="s">
        <v>750</v>
      </c>
      <c r="B151" s="17" t="s">
        <v>748</v>
      </c>
      <c r="C151" s="17" t="s">
        <v>892</v>
      </c>
      <c r="D151" s="4" t="s">
        <v>1922</v>
      </c>
      <c r="E151" s="4" t="s">
        <v>1771</v>
      </c>
      <c r="F151" s="17">
        <v>3</v>
      </c>
      <c r="G151" s="17">
        <v>4</v>
      </c>
      <c r="H151" s="17">
        <f t="shared" si="8"/>
        <v>12</v>
      </c>
      <c r="I151" s="17" t="str">
        <f t="shared" si="9"/>
        <v>High</v>
      </c>
      <c r="J151" s="4" t="s">
        <v>1772</v>
      </c>
      <c r="K151" s="4" t="s">
        <v>1773</v>
      </c>
      <c r="L151" s="16">
        <v>46258</v>
      </c>
      <c r="M151" s="4" t="s">
        <v>1332</v>
      </c>
    </row>
    <row r="152" spans="1:13">
      <c r="A152" s="17" t="s">
        <v>753</v>
      </c>
      <c r="B152" s="17" t="s">
        <v>751</v>
      </c>
      <c r="C152" s="17" t="s">
        <v>894</v>
      </c>
      <c r="D152" s="4" t="s">
        <v>1923</v>
      </c>
      <c r="E152" s="4" t="s">
        <v>1771</v>
      </c>
      <c r="F152" s="17">
        <v>2</v>
      </c>
      <c r="G152" s="17">
        <v>3</v>
      </c>
      <c r="H152" s="17">
        <f t="shared" si="8"/>
        <v>6</v>
      </c>
      <c r="I152" s="17" t="str">
        <f t="shared" si="9"/>
        <v>Medium</v>
      </c>
      <c r="J152" s="4" t="s">
        <v>1772</v>
      </c>
      <c r="K152" s="4" t="s">
        <v>1773</v>
      </c>
      <c r="L152" s="16">
        <v>46265</v>
      </c>
      <c r="M152" s="4" t="s">
        <v>1332</v>
      </c>
    </row>
    <row r="153" spans="1:13">
      <c r="A153" s="17" t="s">
        <v>756</v>
      </c>
      <c r="B153" s="17" t="s">
        <v>754</v>
      </c>
      <c r="C153" s="17" t="s">
        <v>907</v>
      </c>
      <c r="D153" s="4" t="s">
        <v>1924</v>
      </c>
      <c r="E153" s="4" t="s">
        <v>1771</v>
      </c>
      <c r="F153" s="17">
        <v>5</v>
      </c>
      <c r="G153" s="17">
        <v>2</v>
      </c>
      <c r="H153" s="17">
        <f t="shared" si="8"/>
        <v>10</v>
      </c>
      <c r="I153" s="17" t="str">
        <f t="shared" si="9"/>
        <v>Medium</v>
      </c>
      <c r="J153" s="4" t="s">
        <v>1772</v>
      </c>
      <c r="K153" s="4" t="s">
        <v>1773</v>
      </c>
      <c r="L153" s="16">
        <v>46272</v>
      </c>
      <c r="M153" s="4" t="s">
        <v>1332</v>
      </c>
    </row>
    <row r="154" spans="1:13">
      <c r="A154" s="17" t="s">
        <v>759</v>
      </c>
      <c r="B154" s="17" t="s">
        <v>757</v>
      </c>
      <c r="C154" s="17" t="s">
        <v>909</v>
      </c>
      <c r="D154" s="4" t="s">
        <v>1925</v>
      </c>
      <c r="E154" s="4" t="s">
        <v>1771</v>
      </c>
      <c r="F154" s="17">
        <v>4</v>
      </c>
      <c r="G154" s="17">
        <v>5</v>
      </c>
      <c r="H154" s="17">
        <f t="shared" si="8"/>
        <v>20</v>
      </c>
      <c r="I154" s="17" t="str">
        <f t="shared" si="9"/>
        <v>Critical</v>
      </c>
      <c r="J154" s="4" t="s">
        <v>1772</v>
      </c>
      <c r="K154" s="4" t="s">
        <v>1773</v>
      </c>
      <c r="L154" s="16">
        <v>46279</v>
      </c>
      <c r="M154" s="4" t="s">
        <v>1332</v>
      </c>
    </row>
    <row r="155" spans="1:13">
      <c r="A155" s="17" t="s">
        <v>762</v>
      </c>
      <c r="B155" s="17" t="s">
        <v>760</v>
      </c>
      <c r="C155" s="17" t="s">
        <v>869</v>
      </c>
      <c r="D155" s="4" t="s">
        <v>1926</v>
      </c>
      <c r="E155" s="4" t="s">
        <v>1771</v>
      </c>
      <c r="F155" s="17">
        <v>3</v>
      </c>
      <c r="G155" s="17">
        <v>3</v>
      </c>
      <c r="H155" s="17">
        <f t="shared" si="8"/>
        <v>9</v>
      </c>
      <c r="I155" s="17" t="str">
        <f t="shared" si="9"/>
        <v>Medium</v>
      </c>
      <c r="J155" s="4" t="s">
        <v>1772</v>
      </c>
      <c r="K155" s="4" t="s">
        <v>1773</v>
      </c>
      <c r="L155" s="16">
        <v>46286</v>
      </c>
      <c r="M155" s="4" t="s">
        <v>1348</v>
      </c>
    </row>
    <row r="156" spans="1:13">
      <c r="A156" s="17" t="s">
        <v>765</v>
      </c>
      <c r="B156" s="17" t="s">
        <v>763</v>
      </c>
      <c r="C156" s="17" t="s">
        <v>884</v>
      </c>
      <c r="D156" s="4" t="s">
        <v>1927</v>
      </c>
      <c r="E156" s="4" t="s">
        <v>1771</v>
      </c>
      <c r="F156" s="17">
        <v>2</v>
      </c>
      <c r="G156" s="17">
        <v>4</v>
      </c>
      <c r="H156" s="17">
        <f t="shared" si="8"/>
        <v>8</v>
      </c>
      <c r="I156" s="17" t="str">
        <f t="shared" si="9"/>
        <v>Medium</v>
      </c>
      <c r="J156" s="4" t="s">
        <v>1772</v>
      </c>
      <c r="K156" s="4" t="s">
        <v>1773</v>
      </c>
      <c r="L156" s="16">
        <v>46293</v>
      </c>
      <c r="M156" s="4" t="s">
        <v>1332</v>
      </c>
    </row>
    <row r="157" spans="1:13">
      <c r="A157" s="17" t="s">
        <v>768</v>
      </c>
      <c r="B157" s="17" t="s">
        <v>766</v>
      </c>
      <c r="C157" s="17" t="s">
        <v>892</v>
      </c>
      <c r="D157" s="4" t="s">
        <v>1928</v>
      </c>
      <c r="E157" s="4" t="s">
        <v>1771</v>
      </c>
      <c r="F157" s="17">
        <v>5</v>
      </c>
      <c r="G157" s="17">
        <v>3</v>
      </c>
      <c r="H157" s="17">
        <f t="shared" si="8"/>
        <v>15</v>
      </c>
      <c r="I157" s="17" t="str">
        <f t="shared" si="9"/>
        <v>High</v>
      </c>
      <c r="J157" s="4" t="s">
        <v>1772</v>
      </c>
      <c r="K157" s="4" t="s">
        <v>1773</v>
      </c>
      <c r="L157" s="16">
        <v>46300</v>
      </c>
      <c r="M157" s="4" t="s">
        <v>1332</v>
      </c>
    </row>
    <row r="158" spans="1:13">
      <c r="A158" s="17" t="s">
        <v>771</v>
      </c>
      <c r="B158" s="17" t="s">
        <v>769</v>
      </c>
      <c r="C158" s="17" t="s">
        <v>894</v>
      </c>
      <c r="D158" s="4" t="s">
        <v>1929</v>
      </c>
      <c r="E158" s="4" t="s">
        <v>1771</v>
      </c>
      <c r="F158" s="17">
        <v>4</v>
      </c>
      <c r="G158" s="17">
        <v>2</v>
      </c>
      <c r="H158" s="17">
        <f t="shared" si="8"/>
        <v>8</v>
      </c>
      <c r="I158" s="17" t="str">
        <f t="shared" si="9"/>
        <v>Medium</v>
      </c>
      <c r="J158" s="4" t="s">
        <v>1772</v>
      </c>
      <c r="K158" s="4" t="s">
        <v>1773</v>
      </c>
      <c r="L158" s="16">
        <v>46307</v>
      </c>
      <c r="M158" s="4" t="s">
        <v>1332</v>
      </c>
    </row>
    <row r="159" spans="1:13">
      <c r="A159" s="17" t="s">
        <v>774</v>
      </c>
      <c r="B159" s="17" t="s">
        <v>772</v>
      </c>
      <c r="C159" s="17" t="s">
        <v>907</v>
      </c>
      <c r="D159" s="4" t="s">
        <v>1930</v>
      </c>
      <c r="E159" s="4" t="s">
        <v>1771</v>
      </c>
      <c r="F159" s="17">
        <v>3</v>
      </c>
      <c r="G159" s="17">
        <v>5</v>
      </c>
      <c r="H159" s="17">
        <f t="shared" si="8"/>
        <v>15</v>
      </c>
      <c r="I159" s="17" t="str">
        <f t="shared" si="9"/>
        <v>High</v>
      </c>
      <c r="J159" s="4" t="s">
        <v>1772</v>
      </c>
      <c r="K159" s="4" t="s">
        <v>1773</v>
      </c>
      <c r="L159" s="16">
        <v>46314</v>
      </c>
      <c r="M159" s="4" t="s">
        <v>1332</v>
      </c>
    </row>
    <row r="160" spans="1:13">
      <c r="A160" s="17" t="s">
        <v>777</v>
      </c>
      <c r="B160" s="17" t="s">
        <v>775</v>
      </c>
      <c r="C160" s="17" t="s">
        <v>909</v>
      </c>
      <c r="D160" s="4" t="s">
        <v>1931</v>
      </c>
      <c r="E160" s="4" t="s">
        <v>1771</v>
      </c>
      <c r="F160" s="17">
        <v>2</v>
      </c>
      <c r="G160" s="17">
        <v>3</v>
      </c>
      <c r="H160" s="17">
        <f t="shared" si="8"/>
        <v>6</v>
      </c>
      <c r="I160" s="17" t="str">
        <f t="shared" si="9"/>
        <v>Medium</v>
      </c>
      <c r="J160" s="4" t="s">
        <v>1772</v>
      </c>
      <c r="K160" s="4" t="s">
        <v>1773</v>
      </c>
      <c r="L160" s="16">
        <v>46321</v>
      </c>
      <c r="M160" s="4" t="s">
        <v>1332</v>
      </c>
    </row>
    <row r="161" spans="1:13">
      <c r="A161" s="17" t="s">
        <v>783</v>
      </c>
      <c r="B161" s="17" t="s">
        <v>778</v>
      </c>
      <c r="C161" s="17" t="s">
        <v>918</v>
      </c>
      <c r="D161" s="4" t="s">
        <v>1932</v>
      </c>
      <c r="E161" s="4" t="s">
        <v>1771</v>
      </c>
      <c r="F161" s="17">
        <v>5</v>
      </c>
      <c r="G161" s="17">
        <v>4</v>
      </c>
      <c r="H161" s="17">
        <f t="shared" si="8"/>
        <v>20</v>
      </c>
      <c r="I161" s="17" t="str">
        <f t="shared" si="9"/>
        <v>Critical</v>
      </c>
      <c r="J161" s="4" t="s">
        <v>1772</v>
      </c>
      <c r="K161" s="4" t="s">
        <v>1773</v>
      </c>
      <c r="L161" s="16">
        <v>46188</v>
      </c>
      <c r="M161" s="4" t="s">
        <v>1332</v>
      </c>
    </row>
    <row r="162" spans="1:13">
      <c r="A162" s="17" t="s">
        <v>788</v>
      </c>
      <c r="B162" s="17" t="s">
        <v>784</v>
      </c>
      <c r="C162" s="17" t="s">
        <v>921</v>
      </c>
      <c r="D162" s="4" t="s">
        <v>1933</v>
      </c>
      <c r="E162" s="4" t="s">
        <v>1771</v>
      </c>
      <c r="F162" s="17">
        <v>4</v>
      </c>
      <c r="G162" s="17">
        <v>3</v>
      </c>
      <c r="H162" s="17">
        <f t="shared" ref="H162:H178" si="10">F162*G162</f>
        <v>12</v>
      </c>
      <c r="I162" s="17" t="str">
        <f t="shared" ref="I162:I178" si="11">IF(H162&gt;=20,"Critical",IF(H162&gt;=12,"High",IF(H162&gt;=6,"Medium","Low")))</f>
        <v>High</v>
      </c>
      <c r="J162" s="4" t="s">
        <v>1772</v>
      </c>
      <c r="K162" s="4" t="s">
        <v>1773</v>
      </c>
      <c r="L162" s="16">
        <v>46195</v>
      </c>
      <c r="M162" s="4" t="s">
        <v>1348</v>
      </c>
    </row>
    <row r="163" spans="1:13">
      <c r="A163" s="17" t="s">
        <v>793</v>
      </c>
      <c r="B163" s="17" t="s">
        <v>789</v>
      </c>
      <c r="C163" s="17" t="s">
        <v>886</v>
      </c>
      <c r="D163" s="4" t="s">
        <v>1934</v>
      </c>
      <c r="E163" s="4" t="s">
        <v>1771</v>
      </c>
      <c r="F163" s="17">
        <v>3</v>
      </c>
      <c r="G163" s="17">
        <v>2</v>
      </c>
      <c r="H163" s="17">
        <f t="shared" si="10"/>
        <v>6</v>
      </c>
      <c r="I163" s="17" t="str">
        <f t="shared" si="11"/>
        <v>Medium</v>
      </c>
      <c r="J163" s="4" t="s">
        <v>1772</v>
      </c>
      <c r="K163" s="4" t="s">
        <v>1773</v>
      </c>
      <c r="L163" s="16">
        <v>46202</v>
      </c>
      <c r="M163" s="4" t="s">
        <v>1332</v>
      </c>
    </row>
    <row r="164" spans="1:13">
      <c r="A164" s="17" t="s">
        <v>798</v>
      </c>
      <c r="B164" s="17" t="s">
        <v>794</v>
      </c>
      <c r="C164" s="17" t="s">
        <v>890</v>
      </c>
      <c r="D164" s="4" t="s">
        <v>1935</v>
      </c>
      <c r="E164" s="4" t="s">
        <v>1771</v>
      </c>
      <c r="F164" s="17">
        <v>2</v>
      </c>
      <c r="G164" s="17">
        <v>5</v>
      </c>
      <c r="H164" s="17">
        <f t="shared" si="10"/>
        <v>10</v>
      </c>
      <c r="I164" s="17" t="str">
        <f t="shared" si="11"/>
        <v>Medium</v>
      </c>
      <c r="J164" s="4" t="s">
        <v>1772</v>
      </c>
      <c r="K164" s="4" t="s">
        <v>1773</v>
      </c>
      <c r="L164" s="16">
        <v>46209</v>
      </c>
      <c r="M164" s="4" t="s">
        <v>1332</v>
      </c>
    </row>
    <row r="165" spans="1:13">
      <c r="A165" s="17" t="s">
        <v>803</v>
      </c>
      <c r="B165" s="17" t="s">
        <v>799</v>
      </c>
      <c r="C165" s="17" t="s">
        <v>941</v>
      </c>
      <c r="D165" s="4" t="s">
        <v>1936</v>
      </c>
      <c r="E165" s="4" t="s">
        <v>1771</v>
      </c>
      <c r="F165" s="17">
        <v>5</v>
      </c>
      <c r="G165" s="17">
        <v>3</v>
      </c>
      <c r="H165" s="17">
        <f t="shared" si="10"/>
        <v>15</v>
      </c>
      <c r="I165" s="17" t="str">
        <f t="shared" si="11"/>
        <v>High</v>
      </c>
      <c r="J165" s="4" t="s">
        <v>1772</v>
      </c>
      <c r="K165" s="4" t="s">
        <v>1773</v>
      </c>
      <c r="L165" s="16">
        <v>46216</v>
      </c>
      <c r="M165" s="4" t="s">
        <v>1332</v>
      </c>
    </row>
    <row r="166" spans="1:13">
      <c r="A166" s="17" t="s">
        <v>807</v>
      </c>
      <c r="B166" s="17" t="s">
        <v>804</v>
      </c>
      <c r="C166" s="17" t="s">
        <v>862</v>
      </c>
      <c r="D166" s="4" t="s">
        <v>1937</v>
      </c>
      <c r="E166" s="4" t="s">
        <v>1771</v>
      </c>
      <c r="F166" s="17">
        <v>4</v>
      </c>
      <c r="G166" s="17">
        <v>4</v>
      </c>
      <c r="H166" s="17">
        <f t="shared" si="10"/>
        <v>16</v>
      </c>
      <c r="I166" s="17" t="str">
        <f t="shared" si="11"/>
        <v>High</v>
      </c>
      <c r="J166" s="4" t="s">
        <v>1772</v>
      </c>
      <c r="K166" s="4" t="s">
        <v>1773</v>
      </c>
      <c r="L166" s="16">
        <v>46223</v>
      </c>
      <c r="M166" s="4" t="s">
        <v>1332</v>
      </c>
    </row>
    <row r="167" spans="1:13">
      <c r="A167" s="17" t="s">
        <v>810</v>
      </c>
      <c r="B167" s="17" t="s">
        <v>808</v>
      </c>
      <c r="C167" s="17" t="s">
        <v>918</v>
      </c>
      <c r="D167" s="4" t="s">
        <v>1938</v>
      </c>
      <c r="E167" s="4" t="s">
        <v>1771</v>
      </c>
      <c r="F167" s="17">
        <v>3</v>
      </c>
      <c r="G167" s="17">
        <v>3</v>
      </c>
      <c r="H167" s="17">
        <f t="shared" si="10"/>
        <v>9</v>
      </c>
      <c r="I167" s="17" t="str">
        <f t="shared" si="11"/>
        <v>Medium</v>
      </c>
      <c r="J167" s="4" t="s">
        <v>1772</v>
      </c>
      <c r="K167" s="4" t="s">
        <v>1773</v>
      </c>
      <c r="L167" s="16">
        <v>46230</v>
      </c>
      <c r="M167" s="4" t="s">
        <v>1332</v>
      </c>
    </row>
    <row r="168" spans="1:13">
      <c r="A168" s="17" t="s">
        <v>813</v>
      </c>
      <c r="B168" s="17" t="s">
        <v>811</v>
      </c>
      <c r="C168" s="17" t="s">
        <v>921</v>
      </c>
      <c r="D168" s="4" t="s">
        <v>1939</v>
      </c>
      <c r="E168" s="4" t="s">
        <v>1771</v>
      </c>
      <c r="F168" s="17">
        <v>2</v>
      </c>
      <c r="G168" s="17">
        <v>2</v>
      </c>
      <c r="H168" s="17">
        <f t="shared" si="10"/>
        <v>4</v>
      </c>
      <c r="I168" s="17" t="str">
        <f t="shared" si="11"/>
        <v>Low</v>
      </c>
      <c r="J168" s="4" t="s">
        <v>1772</v>
      </c>
      <c r="K168" s="4" t="s">
        <v>1773</v>
      </c>
      <c r="L168" s="16">
        <v>46237</v>
      </c>
      <c r="M168" s="4" t="s">
        <v>1332</v>
      </c>
    </row>
    <row r="169" spans="1:13">
      <c r="A169" s="17" t="s">
        <v>816</v>
      </c>
      <c r="B169" s="17" t="s">
        <v>814</v>
      </c>
      <c r="C169" s="17" t="s">
        <v>886</v>
      </c>
      <c r="D169" s="4" t="s">
        <v>1940</v>
      </c>
      <c r="E169" s="4" t="s">
        <v>1771</v>
      </c>
      <c r="F169" s="17">
        <v>5</v>
      </c>
      <c r="G169" s="17">
        <v>5</v>
      </c>
      <c r="H169" s="17">
        <f t="shared" si="10"/>
        <v>25</v>
      </c>
      <c r="I169" s="17" t="str">
        <f t="shared" si="11"/>
        <v>Critical</v>
      </c>
      <c r="J169" s="4" t="s">
        <v>1772</v>
      </c>
      <c r="K169" s="4" t="s">
        <v>1773</v>
      </c>
      <c r="L169" s="16">
        <v>46244</v>
      </c>
      <c r="M169" s="4" t="s">
        <v>1348</v>
      </c>
    </row>
    <row r="170" spans="1:13">
      <c r="A170" s="17" t="s">
        <v>819</v>
      </c>
      <c r="B170" s="17" t="s">
        <v>817</v>
      </c>
      <c r="C170" s="17" t="s">
        <v>890</v>
      </c>
      <c r="D170" s="4" t="s">
        <v>1941</v>
      </c>
      <c r="E170" s="4" t="s">
        <v>1771</v>
      </c>
      <c r="F170" s="17">
        <v>4</v>
      </c>
      <c r="G170" s="17">
        <v>3</v>
      </c>
      <c r="H170" s="17">
        <f t="shared" si="10"/>
        <v>12</v>
      </c>
      <c r="I170" s="17" t="str">
        <f t="shared" si="11"/>
        <v>High</v>
      </c>
      <c r="J170" s="4" t="s">
        <v>1772</v>
      </c>
      <c r="K170" s="4" t="s">
        <v>1773</v>
      </c>
      <c r="L170" s="16">
        <v>46251</v>
      </c>
      <c r="M170" s="4" t="s">
        <v>1332</v>
      </c>
    </row>
    <row r="171" spans="1:13">
      <c r="A171" s="17" t="s">
        <v>822</v>
      </c>
      <c r="B171" s="17" t="s">
        <v>820</v>
      </c>
      <c r="C171" s="17" t="s">
        <v>941</v>
      </c>
      <c r="D171" s="4" t="s">
        <v>1942</v>
      </c>
      <c r="E171" s="4" t="s">
        <v>1771</v>
      </c>
      <c r="F171" s="17">
        <v>3</v>
      </c>
      <c r="G171" s="17">
        <v>4</v>
      </c>
      <c r="H171" s="17">
        <f t="shared" si="10"/>
        <v>12</v>
      </c>
      <c r="I171" s="17" t="str">
        <f t="shared" si="11"/>
        <v>High</v>
      </c>
      <c r="J171" s="4" t="s">
        <v>1772</v>
      </c>
      <c r="K171" s="4" t="s">
        <v>1773</v>
      </c>
      <c r="L171" s="16">
        <v>46258</v>
      </c>
      <c r="M171" s="4" t="s">
        <v>1332</v>
      </c>
    </row>
    <row r="172" spans="1:13">
      <c r="A172" s="17" t="s">
        <v>825</v>
      </c>
      <c r="B172" s="17" t="s">
        <v>823</v>
      </c>
      <c r="C172" s="17" t="s">
        <v>862</v>
      </c>
      <c r="D172" s="4" t="s">
        <v>1943</v>
      </c>
      <c r="E172" s="4" t="s">
        <v>1771</v>
      </c>
      <c r="F172" s="17">
        <v>2</v>
      </c>
      <c r="G172" s="17">
        <v>3</v>
      </c>
      <c r="H172" s="17">
        <f t="shared" si="10"/>
        <v>6</v>
      </c>
      <c r="I172" s="17" t="str">
        <f t="shared" si="11"/>
        <v>Medium</v>
      </c>
      <c r="J172" s="4" t="s">
        <v>1772</v>
      </c>
      <c r="K172" s="4" t="s">
        <v>1773</v>
      </c>
      <c r="L172" s="16">
        <v>46265</v>
      </c>
      <c r="M172" s="4" t="s">
        <v>1332</v>
      </c>
    </row>
    <row r="173" spans="1:13">
      <c r="A173" s="17" t="s">
        <v>828</v>
      </c>
      <c r="B173" s="17" t="s">
        <v>826</v>
      </c>
      <c r="C173" s="17" t="s">
        <v>918</v>
      </c>
      <c r="D173" s="4" t="s">
        <v>1944</v>
      </c>
      <c r="E173" s="4" t="s">
        <v>1771</v>
      </c>
      <c r="F173" s="17">
        <v>5</v>
      </c>
      <c r="G173" s="17">
        <v>2</v>
      </c>
      <c r="H173" s="17">
        <f t="shared" si="10"/>
        <v>10</v>
      </c>
      <c r="I173" s="17" t="str">
        <f t="shared" si="11"/>
        <v>Medium</v>
      </c>
      <c r="J173" s="4" t="s">
        <v>1772</v>
      </c>
      <c r="K173" s="4" t="s">
        <v>1773</v>
      </c>
      <c r="L173" s="16">
        <v>46272</v>
      </c>
      <c r="M173" s="4" t="s">
        <v>1332</v>
      </c>
    </row>
    <row r="174" spans="1:13">
      <c r="A174" s="17" t="s">
        <v>831</v>
      </c>
      <c r="B174" s="17" t="s">
        <v>829</v>
      </c>
      <c r="C174" s="17" t="s">
        <v>921</v>
      </c>
      <c r="D174" s="4" t="s">
        <v>1945</v>
      </c>
      <c r="E174" s="4" t="s">
        <v>1771</v>
      </c>
      <c r="F174" s="17">
        <v>4</v>
      </c>
      <c r="G174" s="17">
        <v>5</v>
      </c>
      <c r="H174" s="17">
        <f t="shared" si="10"/>
        <v>20</v>
      </c>
      <c r="I174" s="17" t="str">
        <f t="shared" si="11"/>
        <v>Critical</v>
      </c>
      <c r="J174" s="4" t="s">
        <v>1772</v>
      </c>
      <c r="K174" s="4" t="s">
        <v>1773</v>
      </c>
      <c r="L174" s="16">
        <v>46279</v>
      </c>
      <c r="M174" s="4" t="s">
        <v>1332</v>
      </c>
    </row>
    <row r="175" spans="1:13">
      <c r="A175" s="17" t="s">
        <v>834</v>
      </c>
      <c r="B175" s="17" t="s">
        <v>832</v>
      </c>
      <c r="C175" s="17" t="s">
        <v>886</v>
      </c>
      <c r="D175" s="4" t="s">
        <v>1946</v>
      </c>
      <c r="E175" s="4" t="s">
        <v>1771</v>
      </c>
      <c r="F175" s="17">
        <v>3</v>
      </c>
      <c r="G175" s="17">
        <v>3</v>
      </c>
      <c r="H175" s="17">
        <f t="shared" si="10"/>
        <v>9</v>
      </c>
      <c r="I175" s="17" t="str">
        <f t="shared" si="11"/>
        <v>Medium</v>
      </c>
      <c r="J175" s="4" t="s">
        <v>1772</v>
      </c>
      <c r="K175" s="4" t="s">
        <v>1773</v>
      </c>
      <c r="L175" s="16">
        <v>46286</v>
      </c>
      <c r="M175" s="4" t="s">
        <v>1332</v>
      </c>
    </row>
    <row r="176" spans="1:13">
      <c r="A176" s="17" t="s">
        <v>837</v>
      </c>
      <c r="B176" s="17" t="s">
        <v>835</v>
      </c>
      <c r="C176" s="17" t="s">
        <v>890</v>
      </c>
      <c r="D176" s="4" t="s">
        <v>1947</v>
      </c>
      <c r="E176" s="4" t="s">
        <v>1771</v>
      </c>
      <c r="F176" s="17">
        <v>2</v>
      </c>
      <c r="G176" s="17">
        <v>4</v>
      </c>
      <c r="H176" s="17">
        <f t="shared" si="10"/>
        <v>8</v>
      </c>
      <c r="I176" s="17" t="str">
        <f t="shared" si="11"/>
        <v>Medium</v>
      </c>
      <c r="J176" s="4" t="s">
        <v>1772</v>
      </c>
      <c r="K176" s="4" t="s">
        <v>1773</v>
      </c>
      <c r="L176" s="16">
        <v>46293</v>
      </c>
      <c r="M176" s="4" t="s">
        <v>1348</v>
      </c>
    </row>
    <row r="177" spans="1:13">
      <c r="A177" s="17" t="s">
        <v>840</v>
      </c>
      <c r="B177" s="17" t="s">
        <v>838</v>
      </c>
      <c r="C177" s="17" t="s">
        <v>941</v>
      </c>
      <c r="D177" s="4" t="s">
        <v>1948</v>
      </c>
      <c r="E177" s="4" t="s">
        <v>1771</v>
      </c>
      <c r="F177" s="17">
        <v>5</v>
      </c>
      <c r="G177" s="17">
        <v>3</v>
      </c>
      <c r="H177" s="17">
        <f t="shared" si="10"/>
        <v>15</v>
      </c>
      <c r="I177" s="17" t="str">
        <f t="shared" si="11"/>
        <v>High</v>
      </c>
      <c r="J177" s="4" t="s">
        <v>1772</v>
      </c>
      <c r="K177" s="4" t="s">
        <v>1773</v>
      </c>
      <c r="L177" s="16">
        <v>46300</v>
      </c>
      <c r="M177" s="4" t="s">
        <v>1332</v>
      </c>
    </row>
    <row r="178" spans="1:13">
      <c r="A178" s="17" t="s">
        <v>843</v>
      </c>
      <c r="B178" s="17" t="s">
        <v>841</v>
      </c>
      <c r="C178" s="17" t="s">
        <v>862</v>
      </c>
      <c r="D178" s="4" t="s">
        <v>1949</v>
      </c>
      <c r="E178" s="4" t="s">
        <v>1771</v>
      </c>
      <c r="F178" s="17">
        <v>4</v>
      </c>
      <c r="G178" s="17">
        <v>2</v>
      </c>
      <c r="H178" s="17">
        <f t="shared" si="10"/>
        <v>8</v>
      </c>
      <c r="I178" s="17" t="str">
        <f t="shared" si="11"/>
        <v>Medium</v>
      </c>
      <c r="J178" s="4" t="s">
        <v>1772</v>
      </c>
      <c r="K178" s="4" t="s">
        <v>1773</v>
      </c>
      <c r="L178" s="16">
        <v>46307</v>
      </c>
      <c r="M178" s="4" t="s">
        <v>1332</v>
      </c>
    </row>
  </sheetData>
  <autoFilter ref="A1:M1" xr:uid="{00000000-0001-0000-0B00-000000000000}"/>
  <conditionalFormatting sqref="I2:I178">
    <cfRule type="containsText" dxfId="2" priority="1" operator="containsText" text="High">
      <formula>NOT(ISERROR(SEARCH("High",I2)))</formula>
    </cfRule>
    <cfRule type="containsText" dxfId="1" priority="2" operator="containsText" text="Medium">
      <formula>NOT(ISERROR(SEARCH("Medium",I2)))</formula>
    </cfRule>
    <cfRule type="containsText" dxfId="0" priority="3" operator="containsText" text="Critical">
      <formula>NOT(ISERROR(SEARCH("Critical",I2)))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5"/>
  <sheetViews>
    <sheetView workbookViewId="0">
      <selection activeCell="D23" sqref="D23"/>
    </sheetView>
  </sheetViews>
  <sheetFormatPr defaultRowHeight="15"/>
  <cols>
    <col min="1" max="1" width="12.25" style="2" bestFit="1" customWidth="1"/>
    <col min="2" max="2" width="26.25" style="2" bestFit="1" customWidth="1"/>
    <col min="3" max="3" width="11.75" style="2" customWidth="1"/>
    <col min="4" max="4" width="12.125" style="2" customWidth="1"/>
    <col min="5" max="5" width="12" style="2" customWidth="1"/>
    <col min="6" max="6" width="10.125" style="2" customWidth="1"/>
    <col min="7" max="7" width="11.375" style="2" customWidth="1"/>
    <col min="8" max="8" width="9.75" style="2" customWidth="1"/>
    <col min="9" max="9" width="6.125" style="2" bestFit="1" customWidth="1"/>
    <col min="10" max="10" width="12.625" style="2" customWidth="1"/>
    <col min="11" max="16384" width="9" style="2"/>
  </cols>
  <sheetData>
    <row r="1" spans="1:26" ht="45">
      <c r="A1" s="12" t="s">
        <v>1950</v>
      </c>
      <c r="B1" s="12" t="s">
        <v>1951</v>
      </c>
      <c r="C1" s="12" t="s">
        <v>1952</v>
      </c>
      <c r="D1" s="12" t="s">
        <v>1953</v>
      </c>
      <c r="E1" s="12" t="s">
        <v>1954</v>
      </c>
      <c r="F1" s="12" t="s">
        <v>1955</v>
      </c>
      <c r="G1" s="12" t="s">
        <v>1956</v>
      </c>
      <c r="H1" s="12" t="s">
        <v>1957</v>
      </c>
      <c r="I1" s="12" t="s">
        <v>1958</v>
      </c>
      <c r="J1" s="12" t="s">
        <v>1959</v>
      </c>
      <c r="K1" s="1"/>
      <c r="L1" s="1"/>
      <c r="M1" s="1"/>
      <c r="N1" s="1"/>
      <c r="O1" s="1"/>
      <c r="P1" s="1"/>
      <c r="Q1" s="1"/>
      <c r="R1" s="1"/>
      <c r="S1" s="1"/>
      <c r="T1" s="1"/>
      <c r="U1" s="1"/>
      <c r="V1" s="1"/>
      <c r="W1" s="1"/>
      <c r="X1" s="1"/>
      <c r="Y1" s="1"/>
      <c r="Z1" s="1"/>
    </row>
    <row r="2" spans="1:26">
      <c r="A2" s="14" t="s">
        <v>1960</v>
      </c>
      <c r="B2" s="14">
        <v>4</v>
      </c>
      <c r="C2" s="14">
        <v>4</v>
      </c>
      <c r="D2" s="14">
        <v>3</v>
      </c>
      <c r="E2" s="14">
        <v>3</v>
      </c>
      <c r="F2" s="14">
        <v>4</v>
      </c>
      <c r="G2" s="2">
        <f>B2*0.3+C2*0.25+D2*0.15+E2*0.15+F2*0.15</f>
        <v>3.7000000000000006</v>
      </c>
      <c r="H2" s="2">
        <f>IF(E2&lt;3,0.85,IF(E2=3,0.95,1))</f>
        <v>0.95</v>
      </c>
      <c r="I2" s="2">
        <f>G2*H2</f>
        <v>3.5150000000000006</v>
      </c>
    </row>
    <row r="3" spans="1:26">
      <c r="A3" s="14" t="s">
        <v>1961</v>
      </c>
      <c r="B3" s="14">
        <v>3</v>
      </c>
      <c r="C3" s="14">
        <v>5</v>
      </c>
      <c r="D3" s="14">
        <v>4</v>
      </c>
      <c r="E3" s="14">
        <v>4</v>
      </c>
      <c r="F3" s="14">
        <v>3</v>
      </c>
      <c r="G3" s="2">
        <f>B3*0.3+C3*0.25+D3*0.15+E3*0.15+F3*0.15</f>
        <v>3.8</v>
      </c>
      <c r="H3" s="2">
        <f>IF(E3&lt;3,0.85,IF(E3=3,0.95,1))</f>
        <v>1</v>
      </c>
      <c r="I3" s="2">
        <f>G3*H3</f>
        <v>3.8</v>
      </c>
    </row>
    <row r="4" spans="1:26">
      <c r="A4" s="14" t="s">
        <v>1962</v>
      </c>
      <c r="B4" s="14">
        <v>5</v>
      </c>
      <c r="C4" s="14">
        <v>3</v>
      </c>
      <c r="D4" s="14">
        <v>4</v>
      </c>
      <c r="E4" s="14">
        <v>3</v>
      </c>
      <c r="F4" s="14">
        <v>4</v>
      </c>
      <c r="G4" s="2">
        <f>B4*0.3+C4*0.25+D4*0.15+E4*0.15+F4*0.15</f>
        <v>3.9</v>
      </c>
      <c r="H4" s="2">
        <f>IF(E4&lt;3,0.85,IF(E4=3,0.95,1))</f>
        <v>0.95</v>
      </c>
      <c r="I4" s="2">
        <f>G4*H4</f>
        <v>3.7049999999999996</v>
      </c>
    </row>
    <row r="5" spans="1:26">
      <c r="A5" s="14" t="s">
        <v>1963</v>
      </c>
      <c r="B5" s="14">
        <v>4</v>
      </c>
      <c r="C5" s="14">
        <v>4</v>
      </c>
      <c r="D5" s="14">
        <v>5</v>
      </c>
      <c r="E5" s="14">
        <v>5</v>
      </c>
      <c r="F5" s="14">
        <v>3</v>
      </c>
      <c r="G5" s="2">
        <f>B5*0.3+C5*0.25+D5*0.15+E5*0.15+F5*0.15</f>
        <v>4.1500000000000004</v>
      </c>
      <c r="H5" s="2">
        <f>IF(E5&lt;3,0.85,IF(E5=3,0.95,1))</f>
        <v>1</v>
      </c>
      <c r="I5" s="2">
        <f>G5*H5</f>
        <v>4.1500000000000004</v>
      </c>
    </row>
    <row r="6" spans="1:26">
      <c r="A6" s="14" t="s">
        <v>1964</v>
      </c>
      <c r="B6" s="14">
        <v>3</v>
      </c>
      <c r="C6" s="14">
        <v>3</v>
      </c>
      <c r="D6" s="14">
        <v>3</v>
      </c>
      <c r="E6" s="14">
        <v>4</v>
      </c>
      <c r="F6" s="14">
        <v>5</v>
      </c>
      <c r="G6" s="2">
        <f>B6*0.3+C6*0.25+D6*0.15+E6*0.15+F6*0.15</f>
        <v>3.4499999999999997</v>
      </c>
      <c r="H6" s="2">
        <f>IF(E6&lt;3,0.85,IF(E6=3,0.95,1))</f>
        <v>1</v>
      </c>
      <c r="I6" s="2">
        <f>G6*H6</f>
        <v>3.4499999999999997</v>
      </c>
    </row>
    <row r="9" spans="1:26" ht="15.75">
      <c r="A9" s="19" t="s">
        <v>1965</v>
      </c>
      <c r="B9" s="18"/>
    </row>
    <row r="10" spans="1:26">
      <c r="A10" s="2" t="s">
        <v>1966</v>
      </c>
      <c r="B10" s="2" t="s">
        <v>1967</v>
      </c>
    </row>
    <row r="11" spans="1:26">
      <c r="A11" s="2" t="s">
        <v>1968</v>
      </c>
      <c r="B11" s="2" t="s">
        <v>1969</v>
      </c>
    </row>
    <row r="12" spans="1:26">
      <c r="A12" s="2" t="s">
        <v>1970</v>
      </c>
      <c r="B12" s="2" t="s">
        <v>1971</v>
      </c>
    </row>
    <row r="13" spans="1:26">
      <c r="A13" s="2" t="s">
        <v>1972</v>
      </c>
      <c r="B13" s="2" t="s">
        <v>1973</v>
      </c>
    </row>
    <row r="14" spans="1:26">
      <c r="A14" s="2" t="s">
        <v>1974</v>
      </c>
      <c r="B14" s="2" t="s">
        <v>1975</v>
      </c>
    </row>
    <row r="15" spans="1:26">
      <c r="A15" s="2" t="s">
        <v>1976</v>
      </c>
      <c r="B15" s="2" t="s">
        <v>1977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2"/>
  <sheetViews>
    <sheetView workbookViewId="0"/>
  </sheetViews>
  <sheetFormatPr defaultRowHeight="15.75"/>
  <cols>
    <col min="1" max="1" width="116" style="7" customWidth="1"/>
    <col min="2" max="8" width="24" style="7" customWidth="1"/>
    <col min="9" max="16384" width="9" style="7"/>
  </cols>
  <sheetData>
    <row r="1" spans="1:26">
      <c r="A1" s="15" t="s">
        <v>1978</v>
      </c>
      <c r="B1" s="6"/>
      <c r="C1" s="6"/>
      <c r="D1" s="6"/>
      <c r="E1" s="6"/>
      <c r="F1" s="6"/>
      <c r="G1" s="6"/>
      <c r="H1" s="6"/>
      <c r="I1" s="6"/>
      <c r="J1" s="6"/>
      <c r="K1" s="6"/>
      <c r="L1" s="6"/>
      <c r="M1" s="6"/>
      <c r="N1" s="6"/>
      <c r="O1" s="6"/>
      <c r="P1" s="6"/>
      <c r="Q1" s="6"/>
      <c r="R1" s="6"/>
      <c r="S1" s="6"/>
      <c r="T1" s="6"/>
      <c r="U1" s="6"/>
      <c r="V1" s="6"/>
      <c r="W1" s="6"/>
      <c r="X1" s="6"/>
      <c r="Y1" s="6"/>
      <c r="Z1" s="6"/>
    </row>
    <row r="2" spans="1:26">
      <c r="A2" s="7" t="s">
        <v>1979</v>
      </c>
    </row>
    <row r="4" spans="1:26">
      <c r="A4" s="7" t="s">
        <v>1980</v>
      </c>
    </row>
    <row r="5" spans="1:26">
      <c r="A5" s="7" t="s">
        <v>1981</v>
      </c>
    </row>
    <row r="7" spans="1:26">
      <c r="A7" s="7" t="s">
        <v>1982</v>
      </c>
    </row>
    <row r="8" spans="1:26">
      <c r="A8" s="7" t="s">
        <v>1983</v>
      </c>
    </row>
    <row r="9" spans="1:26">
      <c r="A9" s="7" t="s">
        <v>1984</v>
      </c>
    </row>
    <row r="11" spans="1:26">
      <c r="A11" s="7" t="s">
        <v>1985</v>
      </c>
    </row>
    <row r="12" spans="1:26">
      <c r="A12" s="7" t="s">
        <v>1986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8"/>
  <sheetViews>
    <sheetView workbookViewId="0">
      <selection activeCell="E12" sqref="E12"/>
    </sheetView>
  </sheetViews>
  <sheetFormatPr defaultRowHeight="15"/>
  <cols>
    <col min="1" max="1" width="25.625" style="2" customWidth="1"/>
    <col min="2" max="2" width="7.375" style="2" bestFit="1" customWidth="1"/>
    <col min="3" max="3" width="16.375" style="2" customWidth="1"/>
    <col min="4" max="4" width="14.375" style="2" customWidth="1"/>
    <col min="5" max="5" width="10.5" style="2" customWidth="1"/>
    <col min="6" max="6" width="6" style="2" customWidth="1"/>
    <col min="7" max="7" width="14.375" style="2" customWidth="1"/>
    <col min="8" max="8" width="15.625" style="2" customWidth="1"/>
    <col min="9" max="16384" width="9" style="2"/>
  </cols>
  <sheetData>
    <row r="1" spans="1:26" ht="15.75">
      <c r="A1" s="10" t="s">
        <v>3</v>
      </c>
      <c r="B1" s="10" t="s">
        <v>86</v>
      </c>
      <c r="C1" s="10" t="s">
        <v>88</v>
      </c>
      <c r="D1" s="10" t="s">
        <v>2</v>
      </c>
      <c r="E1" s="10" t="s">
        <v>1768</v>
      </c>
      <c r="F1" s="10" t="s">
        <v>948</v>
      </c>
      <c r="G1" s="10" t="s">
        <v>1987</v>
      </c>
      <c r="H1" s="10" t="s">
        <v>1988</v>
      </c>
      <c r="I1" s="1"/>
      <c r="J1" s="1"/>
      <c r="K1" s="1"/>
      <c r="L1" s="1"/>
      <c r="M1" s="1"/>
      <c r="N1" s="1"/>
      <c r="O1" s="1"/>
      <c r="P1" s="1"/>
      <c r="Q1" s="1"/>
      <c r="R1" s="1"/>
      <c r="S1" s="1"/>
      <c r="T1" s="1"/>
      <c r="U1" s="1"/>
      <c r="V1" s="1"/>
      <c r="W1" s="1"/>
      <c r="X1" s="1"/>
      <c r="Y1" s="1"/>
      <c r="Z1" s="1"/>
    </row>
    <row r="2" spans="1:26">
      <c r="A2" s="2" t="s">
        <v>11</v>
      </c>
      <c r="B2" s="2" t="s">
        <v>100</v>
      </c>
      <c r="C2" s="2" t="s">
        <v>102</v>
      </c>
      <c r="D2" s="2" t="s">
        <v>6</v>
      </c>
      <c r="E2" s="2" t="s">
        <v>1338</v>
      </c>
      <c r="F2" s="2" t="s">
        <v>955</v>
      </c>
      <c r="G2" s="2" t="s">
        <v>11</v>
      </c>
      <c r="H2" s="2" t="s">
        <v>1332</v>
      </c>
    </row>
    <row r="3" spans="1:26">
      <c r="A3" s="2" t="s">
        <v>7</v>
      </c>
      <c r="B3" s="2" t="s">
        <v>120</v>
      </c>
      <c r="C3" s="2" t="s">
        <v>112</v>
      </c>
      <c r="D3" s="2" t="s">
        <v>10</v>
      </c>
      <c r="E3" s="2" t="s">
        <v>120</v>
      </c>
      <c r="F3" s="2" t="s">
        <v>963</v>
      </c>
      <c r="G3" s="2" t="s">
        <v>7</v>
      </c>
      <c r="H3" s="2" t="s">
        <v>1348</v>
      </c>
    </row>
    <row r="4" spans="1:26">
      <c r="A4" s="2" t="s">
        <v>1989</v>
      </c>
      <c r="B4" s="2" t="s">
        <v>1338</v>
      </c>
      <c r="C4" s="2" t="s">
        <v>122</v>
      </c>
      <c r="D4" s="2" t="s">
        <v>14</v>
      </c>
      <c r="E4" s="2" t="s">
        <v>100</v>
      </c>
      <c r="G4" s="2" t="s">
        <v>1989</v>
      </c>
      <c r="H4" s="2" t="s">
        <v>1990</v>
      </c>
    </row>
    <row r="5" spans="1:26">
      <c r="A5" s="2" t="s">
        <v>1991</v>
      </c>
      <c r="B5" s="2" t="s">
        <v>537</v>
      </c>
      <c r="C5" s="2" t="s">
        <v>131</v>
      </c>
      <c r="D5" s="2" t="s">
        <v>17</v>
      </c>
      <c r="E5" s="2" t="s">
        <v>537</v>
      </c>
      <c r="G5" s="2" t="s">
        <v>1991</v>
      </c>
      <c r="H5" s="2" t="s">
        <v>1992</v>
      </c>
    </row>
    <row r="6" spans="1:26">
      <c r="A6" s="2" t="s">
        <v>1993</v>
      </c>
      <c r="D6" s="2" t="s">
        <v>20</v>
      </c>
      <c r="G6" s="2" t="s">
        <v>1994</v>
      </c>
    </row>
    <row r="7" spans="1:26">
      <c r="A7" s="2" t="s">
        <v>1992</v>
      </c>
      <c r="D7" s="2" t="s">
        <v>23</v>
      </c>
      <c r="G7" s="2" t="s">
        <v>1995</v>
      </c>
    </row>
    <row r="8" spans="1:26">
      <c r="D8" s="2" t="s">
        <v>27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D4DC-7E3A-48FB-823A-853DB72E549A}">
  <dimension ref="A1:C12"/>
  <sheetViews>
    <sheetView workbookViewId="0">
      <selection activeCell="B4" sqref="B4"/>
    </sheetView>
  </sheetViews>
  <sheetFormatPr defaultColWidth="71.125" defaultRowHeight="12.75"/>
  <cols>
    <col min="1" max="1" width="45.125" style="4" customWidth="1"/>
    <col min="2" max="2" width="79.5" style="4" customWidth="1"/>
    <col min="3" max="3" width="35.625" style="4" customWidth="1"/>
    <col min="4" max="16384" width="71.125" style="4"/>
  </cols>
  <sheetData>
    <row r="1" spans="1:3" ht="15.75">
      <c r="A1" s="42" t="s">
        <v>1997</v>
      </c>
      <c r="B1" s="43" t="s">
        <v>1998</v>
      </c>
      <c r="C1" s="42" t="s">
        <v>1999</v>
      </c>
    </row>
    <row r="2" spans="1:3" ht="25.5">
      <c r="A2" s="29" t="s">
        <v>2000</v>
      </c>
      <c r="B2" s="30" t="s">
        <v>2001</v>
      </c>
      <c r="C2" s="29" t="s">
        <v>2002</v>
      </c>
    </row>
    <row r="3" spans="1:3" ht="38.25">
      <c r="A3" s="29" t="s">
        <v>2003</v>
      </c>
      <c r="B3" s="31" t="s">
        <v>2004</v>
      </c>
      <c r="C3" s="29" t="s">
        <v>2005</v>
      </c>
    </row>
    <row r="4" spans="1:3" ht="38.25">
      <c r="A4" s="32" t="s">
        <v>2006</v>
      </c>
      <c r="B4" s="33" t="s">
        <v>2007</v>
      </c>
      <c r="C4" s="34" t="s">
        <v>2008</v>
      </c>
    </row>
    <row r="5" spans="1:3" ht="38.25">
      <c r="A5" s="29" t="s">
        <v>2009</v>
      </c>
      <c r="B5" s="35" t="s">
        <v>2010</v>
      </c>
      <c r="C5" s="29" t="s">
        <v>2011</v>
      </c>
    </row>
    <row r="6" spans="1:3" ht="25.5">
      <c r="A6" s="29" t="s">
        <v>2012</v>
      </c>
      <c r="B6" s="30" t="s">
        <v>2013</v>
      </c>
      <c r="C6" s="29"/>
    </row>
    <row r="7" spans="1:3" ht="51">
      <c r="A7" s="36" t="s">
        <v>2014</v>
      </c>
      <c r="B7" s="30" t="s">
        <v>2015</v>
      </c>
      <c r="C7" s="29" t="s">
        <v>2016</v>
      </c>
    </row>
    <row r="8" spans="1:3" ht="38.25">
      <c r="A8" s="37" t="s">
        <v>2017</v>
      </c>
      <c r="B8" s="38" t="s">
        <v>2018</v>
      </c>
      <c r="C8" s="39" t="s">
        <v>2019</v>
      </c>
    </row>
    <row r="9" spans="1:3" ht="38.25">
      <c r="A9" s="40" t="s">
        <v>2020</v>
      </c>
      <c r="B9" s="33" t="s">
        <v>2021</v>
      </c>
      <c r="C9" s="29" t="s">
        <v>2002</v>
      </c>
    </row>
    <row r="10" spans="1:3">
      <c r="A10" s="32" t="s">
        <v>2022</v>
      </c>
      <c r="B10" s="41" t="s">
        <v>2023</v>
      </c>
      <c r="C10" s="29" t="s">
        <v>2002</v>
      </c>
    </row>
    <row r="11" spans="1:3" ht="38.25">
      <c r="A11" s="29" t="s">
        <v>2024</v>
      </c>
      <c r="B11" s="41" t="s">
        <v>2025</v>
      </c>
      <c r="C11" s="29" t="s">
        <v>2002</v>
      </c>
    </row>
    <row r="12" spans="1:3" ht="25.5">
      <c r="A12" s="29" t="s">
        <v>2026</v>
      </c>
      <c r="B12" s="30" t="s">
        <v>2027</v>
      </c>
      <c r="C12" s="2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2210C14492994CB1BBE278524FFBC0" ma:contentTypeVersion="14" ma:contentTypeDescription="Create a new document." ma:contentTypeScope="" ma:versionID="7efcfb2106ec0704f39bd234dac27933">
  <xsd:schema xmlns:xsd="http://www.w3.org/2001/XMLSchema" xmlns:xs="http://www.w3.org/2001/XMLSchema" xmlns:p="http://schemas.microsoft.com/office/2006/metadata/properties" xmlns:ns2="cd6aa57e-0a1f-4c0c-b6fb-7740892a9c9d" xmlns:ns3="536199f6-53ff-4f95-bd8f-28d4ac49e527" targetNamespace="http://schemas.microsoft.com/office/2006/metadata/properties" ma:root="true" ma:fieldsID="5b8ca57e34339e74ccf47dbe3bdb87e2" ns2:_="" ns3:_="">
    <xsd:import namespace="cd6aa57e-0a1f-4c0c-b6fb-7740892a9c9d"/>
    <xsd:import namespace="536199f6-53ff-4f95-bd8f-28d4ac49e5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6aa57e-0a1f-4c0c-b6fb-7740892a9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1e66014-0ed7-4bb2-b746-ad8c74ccc79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6199f6-53ff-4f95-bd8f-28d4ac49e52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59f97d71-7c7c-4796-b70e-f8e15835c62f}" ma:internalName="TaxCatchAll" ma:showField="CatchAllData" ma:web="536199f6-53ff-4f95-bd8f-28d4ac49e5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d6aa57e-0a1f-4c0c-b6fb-7740892a9c9d">
      <Terms xmlns="http://schemas.microsoft.com/office/infopath/2007/PartnerControls"/>
    </lcf76f155ced4ddcb4097134ff3c332f>
    <TaxCatchAll xmlns="536199f6-53ff-4f95-bd8f-28d4ac49e527" xsi:nil="true"/>
  </documentManagement>
</p:properties>
</file>

<file path=customXml/itemProps1.xml><?xml version="1.0" encoding="utf-8"?>
<ds:datastoreItem xmlns:ds="http://schemas.openxmlformats.org/officeDocument/2006/customXml" ds:itemID="{7FEFC2AF-735A-41B9-8ACA-965081B3AEAE}"/>
</file>

<file path=customXml/itemProps2.xml><?xml version="1.0" encoding="utf-8"?>
<ds:datastoreItem xmlns:ds="http://schemas.openxmlformats.org/officeDocument/2006/customXml" ds:itemID="{5B94A494-DC82-4276-BF63-CA091DB05AA6}"/>
</file>

<file path=customXml/itemProps3.xml><?xml version="1.0" encoding="utf-8"?>
<ds:datastoreItem xmlns:ds="http://schemas.openxmlformats.org/officeDocument/2006/customXml" ds:itemID="{77DE5CBB-1F75-491E-9E29-4B7A0CA32E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AO Brief</vt:lpstr>
      <vt:lpstr>RMF Process</vt:lpstr>
      <vt:lpstr>Requirements</vt:lpstr>
      <vt:lpstr>RMF Controls</vt:lpstr>
      <vt:lpstr>Evidence Tracker</vt:lpstr>
      <vt:lpstr>POAM Automation</vt:lpstr>
      <vt:lpstr>IATT Gate</vt:lpstr>
      <vt:lpstr>ATO Gate</vt:lpstr>
      <vt:lpstr>IMS</vt:lpstr>
      <vt:lpstr>CDRL IMS Linkage</vt:lpstr>
      <vt:lpstr>Risk Register</vt:lpstr>
      <vt:lpstr>Source Selection</vt:lpstr>
      <vt:lpstr>Diagrams</vt:lpstr>
      <vt:lpstr>Data Lists</vt:lpstr>
      <vt:lpstr>Glosary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Dave.Sossa@ngc.com</dc:creator>
  <cp:lastModifiedBy>Sossa, Dave [US] (MS)</cp:lastModifiedBy>
  <dcterms:created xsi:type="dcterms:W3CDTF">2026-04-30T15:45:43Z</dcterms:created>
  <dcterms:modified xsi:type="dcterms:W3CDTF">2026-05-04T18:13:50Z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0x010100C02210C14492994CB1BBE278524FFBC0</vt:lpwstr>
  </property>
</Properties>
</file>